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145" windowHeight="9285" tabRatio="726" firstSheet="1" activeTab="5"/>
  </bookViews>
  <sheets>
    <sheet name="RAW_DATA" sheetId="1" r:id="rId1"/>
    <sheet name="ORDER_DATA" sheetId="2" r:id="rId2"/>
    <sheet name="QUALITY_CONTROL" sheetId="4" r:id="rId3"/>
    <sheet name="ORDER_ANALYSIS" sheetId="5" r:id="rId4"/>
    <sheet name="MANAGEMENT_REPORT" sheetId="6" r:id="rId5"/>
    <sheet name="CHART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<sst xmlns="http://schemas.openxmlformats.org/spreadsheetml/2006/main" count="9138" uniqueCount="582">
  <si>
    <t>Order ID</t>
  </si>
  <si>
    <t>Order Date</t>
  </si>
  <si>
    <t>Salesperson</t>
  </si>
  <si>
    <t>Customer</t>
  </si>
  <si>
    <t>Customer Type</t>
  </si>
  <si>
    <t>Region</t>
  </si>
  <si>
    <t>Product</t>
  </si>
  <si>
    <t>Category</t>
  </si>
  <si>
    <t>Quantity</t>
  </si>
  <si>
    <t>Unit Price</t>
  </si>
  <si>
    <t>Payment Status</t>
  </si>
  <si>
    <t>Delivery Status</t>
  </si>
  <si>
    <t>ORD0001</t>
  </si>
  <si>
    <t>Thabo</t>
  </si>
  <si>
    <t>ABC Primary</t>
  </si>
  <si>
    <t>School</t>
  </si>
  <si>
    <t>Gauteng</t>
  </si>
  <si>
    <t>Soya 5kg</t>
  </si>
  <si>
    <t>Food</t>
  </si>
  <si>
    <t>Paid</t>
  </si>
  <si>
    <t>Pending</t>
  </si>
  <si>
    <t>ORD0002</t>
  </si>
  <si>
    <t>Lerato</t>
  </si>
  <si>
    <t>Maize Meal 10kg</t>
  </si>
  <si>
    <t>Completed</t>
  </si>
  <si>
    <t>ORD0003</t>
  </si>
  <si>
    <t>Naledi</t>
  </si>
  <si>
    <t>Green Valley School</t>
  </si>
  <si>
    <t>North West</t>
  </si>
  <si>
    <t>Stock Cubes 30-pack</t>
  </si>
  <si>
    <t>Grocery</t>
  </si>
  <si>
    <t>ORD0004</t>
  </si>
  <si>
    <t>Mpho Clinic</t>
  </si>
  <si>
    <t>Clinic</t>
  </si>
  <si>
    <t>ORD0005</t>
  </si>
  <si>
    <t>Cooking Oil</t>
  </si>
  <si>
    <t>ORD0006</t>
  </si>
  <si>
    <t>Sunrise Clinic</t>
  </si>
  <si>
    <t>ORD0007</t>
  </si>
  <si>
    <t>Tsoseletso HS</t>
  </si>
  <si>
    <t>Free State</t>
  </si>
  <si>
    <t>ORD0008</t>
  </si>
  <si>
    <t>Motheo Primary</t>
  </si>
  <si>
    <t>ORD0009</t>
  </si>
  <si>
    <t>ORD0010</t>
  </si>
  <si>
    <t>Rice 10kg</t>
  </si>
  <si>
    <t>ORD0011</t>
  </si>
  <si>
    <t>Thaba Community Centre</t>
  </si>
  <si>
    <t>NGO</t>
  </si>
  <si>
    <t>Beans 5kg</t>
  </si>
  <si>
    <t>ORD0012</t>
  </si>
  <si>
    <t>ORD0013</t>
  </si>
  <si>
    <t>Kabelo</t>
  </si>
  <si>
    <t>Naledi Youth Centre</t>
  </si>
  <si>
    <t>ORD0014</t>
  </si>
  <si>
    <t>ORD0015</t>
  </si>
  <si>
    <t>ORD0016</t>
  </si>
  <si>
    <t>ComTech HS</t>
  </si>
  <si>
    <t>Delayed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</si>
  <si>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</si>
  <si>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</si>
  <si>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</si>
  <si>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</si>
  <si>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</si>
  <si>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</si>
  <si>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</si>
  <si>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</si>
  <si>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</si>
  <si>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</si>
  <si>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</si>
  <si>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</si>
  <si>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</si>
  <si>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</si>
  <si>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</si>
  <si>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</si>
  <si>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</si>
  <si>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</si>
  <si>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</si>
  <si>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Hope NGO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</si>
  <si>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</si>
  <si>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</si>
  <si>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</si>
  <si>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</si>
  <si>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</si>
  <si>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</si>
  <si>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</si>
  <si>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</si>
  <si>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</si>
  <si>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</si>
  <si>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</si>
  <si>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</si>
  <si>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</si>
  <si>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</si>
  <si>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</si>
  <si>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</si>
  <si>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</si>
  <si>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</si>
  <si>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</si>
  <si>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</si>
  <si>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</si>
  <si>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</si>
  <si>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</si>
  <si>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</si>
  <si>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</si>
  <si>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</si>
  <si>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</si>
  <si>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</si>
  <si>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</si>
  <si>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</si>
  <si>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</si>
  <si>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</si>
  <si>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</si>
  <si>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</si>
  <si>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</si>
  <si>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</si>
  <si>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</si>
  <si>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</si>
  <si>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</si>
  <si>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</si>
  <si>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</si>
  <si>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</si>
  <si>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</si>
  <si>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</si>
  <si>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</si>
  <si>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</si>
  <si>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</si>
  <si>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</si>
  <si>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</si>
  <si>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</si>
  <si>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</si>
  <si>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</si>
  <si>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</si>
  <si>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</si>
  <si>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</si>
  <si>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</si>
  <si>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</si>
  <si>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</si>
  <si>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</si>
  <si>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</si>
  <si>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</si>
  <si>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</si>
  <si>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</si>
  <si>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</si>
  <si>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</si>
  <si>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</si>
  <si>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</si>
  <si>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</si>
  <si>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</si>
  <si>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</si>
  <si>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</si>
  <si>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</si>
  <si>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</si>
  <si>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</si>
  <si>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</si>
  <si>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</si>
  <si>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</si>
  <si>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</si>
  <si>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</si>
  <si>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</si>
  <si>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</si>
  <si>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</si>
  <si>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</si>
  <si>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</si>
  <si>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</si>
  <si>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</si>
  <si>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</si>
  <si>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</si>
  <si>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</si>
  <si>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</si>
  <si>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</si>
  <si>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</si>
  <si>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</si>
  <si>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</si>
  <si>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</si>
  <si>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</si>
  <si>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</si>
  <si>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</si>
  <si>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</si>
  <si>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</si>
  <si>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</si>
  <si>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</si>
  <si>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</si>
  <si>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</si>
  <si>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</si>
  <si>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</si>
  <si>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</si>
  <si>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</si>
  <si>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</si>
  <si>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</si>
  <si>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</si>
  <si>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</si>
  <si>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</si>
  <si>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</si>
  <si>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</si>
  <si>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</si>
  <si>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</si>
  <si>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</si>
  <si>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</si>
  <si>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</si>
  <si>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</si>
  <si>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</si>
  <si>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</si>
  <si>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</si>
  <si>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</si>
  <si>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</si>
  <si>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</si>
  <si>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</si>
  <si>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</si>
  <si>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</si>
  <si>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</si>
  <si>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</si>
  <si>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</si>
  <si>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</si>
  <si>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</si>
  <si>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</si>
  <si>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</si>
  <si>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</si>
  <si>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</si>
  <si>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</si>
  <si>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</si>
  <si>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</si>
  <si>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</si>
  <si>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</si>
  <si>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</si>
  <si>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</si>
  <si>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</si>
  <si>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</si>
  <si>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</si>
  <si>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</si>
  <si>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</si>
  <si>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</si>
  <si>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</si>
  <si>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</si>
  <si>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</si>
  <si>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</si>
  <si>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</si>
  <si>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</si>
  <si>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</si>
  <si>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</si>
  <si>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</si>
  <si>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</si>
  <si>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</si>
  <si>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</si>
  <si>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</si>
  <si>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</si>
  <si>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</si>
  <si>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</si>
  <si>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</si>
  <si>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</si>
  <si>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</si>
  <si>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</si>
  <si>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</si>
  <si>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</si>
  <si>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</si>
  <si>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</si>
  <si>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</si>
  <si>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</si>
  <si>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</si>
  <si>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</si>
  <si>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</si>
  <si>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</si>
  <si>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</si>
  <si>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</si>
  <si>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</si>
  <si>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</si>
  <si>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</si>
  <si>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</si>
  <si>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</si>
  <si>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</si>
  <si>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</si>
  <si>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</si>
  <si>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</si>
  <si>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</si>
  <si>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</si>
  <si>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</si>
  <si>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</si>
  <si>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</si>
  <si>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</si>
  <si>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</si>
  <si>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</si>
  <si>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</si>
  <si>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</si>
  <si>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</si>
  <si>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</si>
  <si>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</si>
  <si>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</si>
  <si>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</si>
  <si>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</si>
  <si>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</si>
  <si>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</si>
  <si>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</si>
  <si>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</si>
  <si>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</si>
  <si>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</si>
  <si>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</si>
  <si>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</si>
  <si>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</si>
  <si>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</si>
  <si>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</si>
  <si>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</si>
  <si>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</si>
  <si>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</si>
  <si>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</si>
  <si>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</si>
  <si>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</si>
  <si>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</si>
  <si>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</si>
  <si>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</si>
  <si>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</si>
  <si>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</si>
  <si>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</si>
  <si>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</si>
  <si>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</si>
  <si>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</si>
  <si>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</si>
  <si>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</si>
  <si>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</si>
  <si>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</si>
  <si>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</si>
  <si>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</si>
  <si>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</si>
  <si>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</si>
  <si>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</si>
  <si>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</si>
  <si>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</si>
  <si>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</si>
  <si>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</si>
  <si>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</si>
  <si>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</si>
  <si>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</si>
  <si>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</si>
  <si>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</si>
  <si>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</si>
  <si>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</si>
  <si>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</si>
  <si>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</si>
  <si>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</si>
  <si>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</si>
  <si>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</si>
  <si>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</si>
  <si>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</si>
  <si>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</si>
  <si>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</si>
  <si>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</si>
  <si>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</si>
  <si>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</si>
  <si>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</si>
  <si>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</si>
  <si>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</si>
  <si>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</si>
  <si>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</si>
  <si>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</si>
  <si>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</si>
  <si>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</si>
  <si>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</si>
  <si>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</si>
  <si>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</si>
  <si>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</si>
  <si>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</si>
  <si>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</si>
  <si>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</si>
  <si>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</si>
  <si>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</si>
  <si>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</si>
  <si>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</si>
  <si>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</si>
  <si>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</si>
  <si>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</si>
  <si>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</si>
  <si>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</si>
  <si>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</si>
  <si>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</si>
  <si>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</si>
  <si>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</si>
  <si>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</si>
  <si>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</si>
  <si>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</si>
  <si>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</si>
  <si>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</si>
  <si>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</si>
  <si>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</si>
  <si>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</si>
  <si>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</si>
  <si>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</si>
  <si>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</si>
  <si>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</si>
  <si>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</si>
  <si>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</si>
  <si>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</si>
  <si>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</si>
  <si>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</si>
  <si>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</si>
  <si>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</si>
  <si>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</si>
  <si>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</si>
  <si>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</si>
  <si>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</si>
  <si>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</si>
  <si>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</si>
  <si>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</si>
  <si>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</si>
  <si>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</si>
  <si>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</si>
  <si>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</si>
  <si>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</si>
  <si>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</si>
  <si>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</si>
  <si>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</si>
  <si>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</si>
  <si>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</si>
  <si>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</si>
  <si>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</si>
  <si>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</si>
  <si>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</si>
  <si>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</si>
  <si>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</si>
  <si>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</si>
  <si>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</si>
  <si>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</si>
  <si>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</si>
  <si>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</si>
  <si>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</si>
  <si>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</si>
  <si>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</si>
  <si>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</si>
  <si>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</si>
  <si>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</si>
  <si>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</si>
  <si>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</si>
  <si>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</si>
  <si>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</si>
  <si>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</si>
  <si>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</si>
  <si>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</si>
  <si>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</si>
  <si>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</si>
  <si>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</si>
  <si>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</si>
  <si>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</si>
  <si>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</si>
  <si>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</si>
  <si>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</si>
  <si>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</si>
  <si>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</si>
  <si>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</si>
  <si>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</si>
  <si>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</si>
  <si>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</si>
  <si>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</si>
  <si>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</si>
  <si>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</si>
  <si>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</si>
  <si>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</si>
  <si>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</si>
  <si>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</si>
  <si>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</si>
  <si>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</si>
  <si>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</si>
  <si>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</si>
  <si>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</si>
  <si>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</si>
  <si>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</si>
  <si>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</si>
  <si>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</si>
  <si>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</si>
  <si>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</si>
  <si>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</si>
  <si>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</si>
  <si>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</si>
  <si>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</si>
  <si>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</si>
  <si>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</si>
  <si>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</si>
  <si>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</si>
  <si>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</si>
  <si>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</si>
  <si>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</si>
  <si>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</si>
  <si>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</si>
  <si>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</si>
  <si>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</si>
  <si>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</si>
  <si>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</si>
  <si>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</si>
  <si>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</si>
  <si>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</si>
  <si>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</si>
  <si>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</si>
  <si>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</si>
  <si>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</si>
  <si>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</si>
  <si>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</si>
  <si>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</si>
  <si>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</si>
  <si>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</si>
  <si>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</si>
  <si>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</si>
  <si>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</si>
  <si>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</si>
  <si>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</si>
  <si>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</si>
  <si>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</si>
  <si>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</si>
  <si>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</si>
  <si>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</si>
  <si>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</si>
  <si>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</si>
  <si>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</si>
  <si>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</si>
  <si>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</si>
  <si>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</si>
  <si>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</si>
  <si>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</si>
  <si>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</si>
  <si>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</si>
  <si>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</si>
  <si>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</si>
  <si>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</si>
  <si>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</si>
  <si>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</si>
  <si>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</si>
  <si>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</si>
  <si>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</si>
  <si>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</si>
  <si>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</si>
  <si>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</si>
  <si>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</si>
  <si>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</si>
  <si>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</si>
  <si>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</si>
  <si>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</si>
  <si>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</si>
  <si>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</si>
  <si>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</si>
  <si>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</si>
  <si>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</si>
  <si>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</si>
  <si>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</si>
  <si>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</si>
  <si>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</si>
  <si>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</si>
  <si>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</si>
  <si>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</si>
  <si>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</si>
  <si>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Order Data Processing &amp; Management Reporting</t>
  </si>
  <si>
    <t>Order Value</t>
  </si>
  <si>
    <t>DOCUMENTED ISSUES FOUND IN THE DATA SET</t>
  </si>
  <si>
    <t>Location</t>
  </si>
  <si>
    <t>Issue Found</t>
  </si>
  <si>
    <t>Number of Affected Rows</t>
  </si>
  <si>
    <t>Action Taken</t>
  </si>
  <si>
    <t>Status of Investigation</t>
  </si>
  <si>
    <t>Duplication</t>
  </si>
  <si>
    <t>Investigation Underway</t>
  </si>
  <si>
    <t>Non payment</t>
  </si>
  <si>
    <t>Not delivered</t>
  </si>
  <si>
    <t>Order value</t>
  </si>
  <si>
    <t>SUMMARIZATION OF DATA</t>
  </si>
  <si>
    <t>Overall Data Numbers</t>
  </si>
  <si>
    <t>Total Number of Orders</t>
  </si>
  <si>
    <t>Total Units Ordered</t>
  </si>
  <si>
    <t>Total Order Value</t>
  </si>
  <si>
    <t>Average Order Value</t>
  </si>
  <si>
    <t>Largest Order Value</t>
  </si>
  <si>
    <t>Smallest Order Value</t>
  </si>
  <si>
    <t>Order Status</t>
  </si>
  <si>
    <t>Number Of Pending Payments</t>
  </si>
  <si>
    <t>Number Of paid Orders</t>
  </si>
  <si>
    <t>Number Of Pending Deliveries</t>
  </si>
  <si>
    <t xml:space="preserve">Number Of Completed Deliveries </t>
  </si>
  <si>
    <t xml:space="preserve">Number Of Delayed Deliveries </t>
  </si>
  <si>
    <t>Data Set Questions</t>
  </si>
  <si>
    <t>Which individual order has the highest value?</t>
  </si>
  <si>
    <t>Order Id</t>
  </si>
  <si>
    <t>Sales Person</t>
  </si>
  <si>
    <t>Which customer has the largest individual order?</t>
  </si>
  <si>
    <t>Which product appears most frequently in the order data?</t>
  </si>
  <si>
    <t>Cooking oil</t>
  </si>
  <si>
    <t>Which region has the most orders?</t>
  </si>
  <si>
    <t>MANAGEMENT IMPORTANT NUMBERS</t>
  </si>
  <si>
    <t xml:space="preserve">Order Status </t>
  </si>
  <si>
    <t>Key Transaction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</si>
</sst>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000_);[Red]\(#,000\)"/>
    <numFmt numFmtId="179" formatCode="[$R-1C09]\ #,##0.00;[$R-1C09]\ \-#,##0.00"/>
    <numFmt numFmtId="180" formatCode="[$-409]dd\-mmm\-yy;@"/>
    <numFmt numFmtId="181" formatCode="yyyy\-mm\-dd\ hh:mm:ss"/>
  </numFmts>
  <fonts count="26">
    <font>
      <sz val="11"/>
      <color theme="1"/>
      <name val="Calibri"/>
      <charset val="134"/>
      <scheme val="minor"/>
    </font>
    <font>
      <b/>
      <sz val="16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8"/>
      <name val="Calibri"/>
      <charset val="134"/>
      <scheme val="minor"/>
    </font>
    <font>
      <b/>
      <sz val="14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3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1" xfId="12" applyFont="1" applyAlignment="1"/>
    <xf numFmtId="0" fontId="2" fillId="0" borderId="1" xfId="12" applyAlignment="1"/>
    <xf numFmtId="0" fontId="3" fillId="0" borderId="1" xfId="13" applyAlignment="1">
      <alignment horizontal="center"/>
    </xf>
    <xf numFmtId="0" fontId="3" fillId="0" borderId="1" xfId="13" applyFill="1" applyBorder="1"/>
    <xf numFmtId="0" fontId="3" fillId="0" borderId="1" xfId="13" applyBorder="1"/>
    <xf numFmtId="0" fontId="3" fillId="0" borderId="1" xfId="13"/>
    <xf numFmtId="178" fontId="3" fillId="0" borderId="1" xfId="13" applyNumberFormat="1" applyBorder="1"/>
    <xf numFmtId="179" fontId="3" fillId="0" borderId="1" xfId="13" applyNumberFormat="1" applyBorder="1"/>
    <xf numFmtId="0" fontId="0" fillId="0" borderId="0" xfId="0" applyBorder="1"/>
    <xf numFmtId="0" fontId="0" fillId="0" borderId="0" xfId="0" applyBorder="1"/>
    <xf numFmtId="0" fontId="0" fillId="0" borderId="0" xfId="0" applyBorder="1"/>
    <xf numFmtId="0" fontId="0" fillId="0" borderId="0" xfId="0" applyBorder="1"/>
    <xf numFmtId="0" fontId="4" fillId="2" borderId="2" xfId="14" applyFill="1" applyBorder="1"/>
    <xf numFmtId="0" fontId="4" fillId="3" borderId="2" xfId="14" applyFill="1"/>
    <xf numFmtId="0" fontId="4" fillId="4" borderId="2" xfId="14" applyFill="1" applyBorder="1"/>
    <xf numFmtId="180" fontId="4" fillId="4" borderId="2" xfId="14" applyNumberFormat="1" applyFill="1" applyBorder="1" applyAlignment="1">
      <alignment horizontal="left"/>
    </xf>
    <xf numFmtId="0" fontId="4" fillId="4" borderId="2" xfId="14" applyFill="1" applyBorder="1"/>
    <xf numFmtId="0" fontId="4" fillId="4" borderId="2" xfId="14" applyFill="1" applyBorder="1" applyAlignment="1">
      <alignment horizontal="left"/>
    </xf>
    <xf numFmtId="179" fontId="4" fillId="4" borderId="2" xfId="14" applyNumberFormat="1" applyFill="1" applyBorder="1" applyAlignment="1">
      <alignment horizontal="left"/>
    </xf>
    <xf numFmtId="179" fontId="4" fillId="4" borderId="2" xfId="14" applyNumberFormat="1" applyFill="1" applyBorder="1" applyAlignment="1">
      <alignment horizontal="left"/>
    </xf>
    <xf numFmtId="0" fontId="2" fillId="0" borderId="1" xfId="12" applyAlignment="1">
      <alignment horizontal="center"/>
    </xf>
    <xf numFmtId="0" fontId="2" fillId="0" borderId="0" xfId="12" applyBorder="1" applyAlignment="1">
      <alignment horizontal="center"/>
    </xf>
    <xf numFmtId="0" fontId="5" fillId="0" borderId="0" xfId="0" applyFont="1"/>
    <xf numFmtId="0" fontId="2" fillId="5" borderId="1" xfId="12" applyFill="1" applyBorder="1" applyAlignment="1">
      <alignment horizontal="center"/>
    </xf>
    <xf numFmtId="0" fontId="2" fillId="5" borderId="1" xfId="12" applyFill="1" applyBorder="1" applyAlignment="1">
      <alignment horizontal="center"/>
    </xf>
    <xf numFmtId="0" fontId="2" fillId="5" borderId="1" xfId="12" applyFill="1" applyBorder="1" applyAlignment="1">
      <alignment horizontal="center"/>
    </xf>
    <xf numFmtId="0" fontId="6" fillId="0" borderId="1" xfId="13" applyFont="1" applyBorder="1"/>
    <xf numFmtId="0" fontId="4" fillId="0" borderId="2" xfId="14" applyBorder="1"/>
    <xf numFmtId="0" fontId="0" fillId="0" borderId="0" xfId="0" applyAlignment="1">
      <alignment horizontal="left"/>
    </xf>
    <xf numFmtId="0" fontId="7" fillId="6" borderId="1" xfId="12" applyFont="1" applyFill="1" applyAlignment="1">
      <alignment horizontal="center"/>
    </xf>
    <xf numFmtId="0" fontId="7" fillId="6" borderId="1" xfId="12" applyFont="1" applyFill="1" applyAlignment="1">
      <alignment horizontal="center"/>
    </xf>
    <xf numFmtId="0" fontId="8" fillId="0" borderId="3" xfId="0" applyFont="1" applyBorder="1" applyAlignment="1">
      <alignment horizontal="center" vertical="top"/>
    </xf>
    <xf numFmtId="0" fontId="3" fillId="0" borderId="1" xfId="13" applyBorder="1" applyAlignment="1">
      <alignment horizontal="left" vertical="top"/>
    </xf>
    <xf numFmtId="0" fontId="3" fillId="0" borderId="1" xfId="13" applyBorder="1" applyAlignment="1">
      <alignment horizontal="center" vertical="top"/>
    </xf>
    <xf numFmtId="0" fontId="4" fillId="0" borderId="2" xfId="14"/>
    <xf numFmtId="180" fontId="4" fillId="0" borderId="2" xfId="14" applyNumberFormat="1" applyAlignment="1">
      <alignment horizontal="left"/>
    </xf>
    <xf numFmtId="0" fontId="4" fillId="0" borderId="2" xfId="14" applyAlignment="1">
      <alignment horizontal="left"/>
    </xf>
    <xf numFmtId="179" fontId="4" fillId="0" borderId="2" xfId="14" applyNumberFormat="1" applyAlignment="1">
      <alignment horizontal="left"/>
    </xf>
    <xf numFmtId="0" fontId="9" fillId="0" borderId="0" xfId="0" applyFon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numFmt numFmtId="180" formatCode="[$-409]dd\-mmm\-yy;@"/>
      <alignment horizontal="left"/>
    </dxf>
    <dxf>
      <alignment horizontal="left"/>
    </dxf>
    <dxf>
      <numFmt numFmtId="179" formatCode="[$R-1C09]\ #,##0.00;[$R-1C09]\ \-#,##0.00"/>
      <alignment horizontal="left"/>
    </dxf>
    <dxf>
      <numFmt numFmtId="179" formatCode="[$R-1C09]\ #,##0.00;[$R-1C09]\ \-#,##0.00"/>
      <alignment horizontal="left"/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</a:t>
            </a:r>
            <a:r>
              <a:rPr lang="en-ZA" altLang="en-US"/>
              <a:t>ORDER VALUE BY REGION</a:t>
            </a:r>
            <a:endParaRPr lang="en-ZA" altLang="en-US"/>
          </a:p>
        </c:rich>
      </c:tx>
      <c:layout>
        <c:manualLayout>
          <c:xMode val="edge"/>
          <c:yMode val="edge"/>
          <c:x val="0.487274368231047"/>
          <c:y val="0.020829717063009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ORDER_DATA!$M$1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ORDER_DATA!$F$2:$F$502</c:f>
              <c:strCache>
                <c:ptCount val="501"/>
                <c:pt idx="0">
                  <c:v>Region</c:v>
                </c:pt>
                <c:pt idx="1">
                  <c:v>Gauteng</c:v>
                </c:pt>
                <c:pt idx="2">
                  <c:v>Gauteng</c:v>
                </c:pt>
                <c:pt idx="3">
                  <c:v>North West</c:v>
                </c:pt>
                <c:pt idx="4">
                  <c:v>Gauteng</c:v>
                </c:pt>
                <c:pt idx="5">
                  <c:v>Gauteng</c:v>
                </c:pt>
                <c:pt idx="6">
                  <c:v>Gauteng</c:v>
                </c:pt>
                <c:pt idx="7">
                  <c:v>Free State</c:v>
                </c:pt>
                <c:pt idx="8">
                  <c:v>Free State</c:v>
                </c:pt>
                <c:pt idx="9">
                  <c:v>Gauteng</c:v>
                </c:pt>
                <c:pt idx="10">
                  <c:v>Gauteng</c:v>
                </c:pt>
                <c:pt idx="11">
                  <c:v>Gauteng</c:v>
                </c:pt>
                <c:pt idx="12">
                  <c:v>Free State</c:v>
                </c:pt>
                <c:pt idx="13">
                  <c:v>North West</c:v>
                </c:pt>
                <c:pt idx="14">
                  <c:v>Gauteng</c:v>
                </c:pt>
                <c:pt idx="15">
                  <c:v>Free State</c:v>
                </c:pt>
                <c:pt idx="16">
                  <c:v>Free State</c:v>
                </c:pt>
                <c:pt idx="17">
                  <c:v>Free State</c:v>
                </c:pt>
                <c:pt idx="18">
                  <c:v>North West</c:v>
                </c:pt>
                <c:pt idx="19">
                  <c:v>Gauteng</c:v>
                </c:pt>
                <c:pt idx="20">
                  <c:v>Gauteng</c:v>
                </c:pt>
                <c:pt idx="21">
                  <c:v>Gauteng</c:v>
                </c:pt>
                <c:pt idx="22">
                  <c:v>Gauteng</c:v>
                </c:pt>
                <c:pt idx="23">
                  <c:v>Free State</c:v>
                </c:pt>
                <c:pt idx="24">
                  <c:v>Free State</c:v>
                </c:pt>
                <c:pt idx="25">
                  <c:v>Gauteng</c:v>
                </c:pt>
                <c:pt idx="26">
                  <c:v>Free State</c:v>
                </c:pt>
                <c:pt idx="27">
                  <c:v>Gauteng</c:v>
                </c:pt>
                <c:pt idx="28">
                  <c:v>Gauteng</c:v>
                </c:pt>
                <c:pt idx="29">
                  <c:v>North West</c:v>
                </c:pt>
                <c:pt idx="30">
                  <c:v>Free State</c:v>
                </c:pt>
                <c:pt idx="31">
                  <c:v>Gauteng</c:v>
                </c:pt>
                <c:pt idx="32">
                  <c:v>Gauteng</c:v>
                </c:pt>
                <c:pt idx="33">
                  <c:v>Gauteng</c:v>
                </c:pt>
                <c:pt idx="34">
                  <c:v>North West</c:v>
                </c:pt>
                <c:pt idx="35">
                  <c:v>North West</c:v>
                </c:pt>
                <c:pt idx="36">
                  <c:v>Gauteng</c:v>
                </c:pt>
                <c:pt idx="37">
                  <c:v>Free State</c:v>
                </c:pt>
                <c:pt idx="38">
                  <c:v>Gauteng</c:v>
                </c:pt>
                <c:pt idx="39">
                  <c:v>Gauteng</c:v>
                </c:pt>
                <c:pt idx="40">
                  <c:v>North West</c:v>
                </c:pt>
                <c:pt idx="41">
                  <c:v>Free State</c:v>
                </c:pt>
                <c:pt idx="42">
                  <c:v>Gauteng</c:v>
                </c:pt>
                <c:pt idx="43">
                  <c:v>North West</c:v>
                </c:pt>
                <c:pt idx="44">
                  <c:v>Free State</c:v>
                </c:pt>
                <c:pt idx="45">
                  <c:v>Gauteng</c:v>
                </c:pt>
                <c:pt idx="46">
                  <c:v>Gauteng</c:v>
                </c:pt>
                <c:pt idx="47">
                  <c:v>North West</c:v>
                </c:pt>
                <c:pt idx="48">
                  <c:v>North West</c:v>
                </c:pt>
                <c:pt idx="49">
                  <c:v>North West</c:v>
                </c:pt>
                <c:pt idx="50">
                  <c:v>Gauteng</c:v>
                </c:pt>
                <c:pt idx="51">
                  <c:v>Free State</c:v>
                </c:pt>
                <c:pt idx="52">
                  <c:v>Gauteng</c:v>
                </c:pt>
                <c:pt idx="53">
                  <c:v>Gauteng</c:v>
                </c:pt>
                <c:pt idx="54">
                  <c:v>Gauteng</c:v>
                </c:pt>
                <c:pt idx="55">
                  <c:v>Gauteng</c:v>
                </c:pt>
                <c:pt idx="56">
                  <c:v>Gauteng</c:v>
                </c:pt>
                <c:pt idx="57">
                  <c:v>North West</c:v>
                </c:pt>
                <c:pt idx="58">
                  <c:v>North West</c:v>
                </c:pt>
                <c:pt idx="59">
                  <c:v>Free State</c:v>
                </c:pt>
                <c:pt idx="60">
                  <c:v>North West</c:v>
                </c:pt>
                <c:pt idx="61">
                  <c:v>Gauteng</c:v>
                </c:pt>
                <c:pt idx="62">
                  <c:v>Gauteng</c:v>
                </c:pt>
                <c:pt idx="63">
                  <c:v>North West</c:v>
                </c:pt>
                <c:pt idx="64">
                  <c:v>Free State</c:v>
                </c:pt>
                <c:pt idx="65">
                  <c:v>North West</c:v>
                </c:pt>
                <c:pt idx="66">
                  <c:v>Gauteng</c:v>
                </c:pt>
                <c:pt idx="67">
                  <c:v>Gauteng</c:v>
                </c:pt>
                <c:pt idx="68">
                  <c:v>Free State</c:v>
                </c:pt>
                <c:pt idx="69">
                  <c:v>Gauteng</c:v>
                </c:pt>
                <c:pt idx="70">
                  <c:v>Gauteng</c:v>
                </c:pt>
                <c:pt idx="71">
                  <c:v>Free State</c:v>
                </c:pt>
                <c:pt idx="72">
                  <c:v>North West</c:v>
                </c:pt>
                <c:pt idx="73">
                  <c:v>Free State</c:v>
                </c:pt>
                <c:pt idx="74">
                  <c:v>Free State</c:v>
                </c:pt>
                <c:pt idx="75">
                  <c:v>Gauteng</c:v>
                </c:pt>
                <c:pt idx="76">
                  <c:v>Gauteng</c:v>
                </c:pt>
                <c:pt idx="77">
                  <c:v>Gauteng</c:v>
                </c:pt>
                <c:pt idx="78">
                  <c:v>North West</c:v>
                </c:pt>
                <c:pt idx="79">
                  <c:v>Free State</c:v>
                </c:pt>
                <c:pt idx="80">
                  <c:v>Gauteng</c:v>
                </c:pt>
                <c:pt idx="81">
                  <c:v>North West</c:v>
                </c:pt>
                <c:pt idx="82">
                  <c:v>Free State</c:v>
                </c:pt>
                <c:pt idx="83">
                  <c:v>Free State</c:v>
                </c:pt>
                <c:pt idx="84">
                  <c:v>North West</c:v>
                </c:pt>
                <c:pt idx="85">
                  <c:v>Free State</c:v>
                </c:pt>
                <c:pt idx="86">
                  <c:v>North West</c:v>
                </c:pt>
                <c:pt idx="87">
                  <c:v>North West</c:v>
                </c:pt>
                <c:pt idx="88">
                  <c:v>Gauteng</c:v>
                </c:pt>
                <c:pt idx="89">
                  <c:v>Gauteng</c:v>
                </c:pt>
                <c:pt idx="90">
                  <c:v>Free State</c:v>
                </c:pt>
                <c:pt idx="91">
                  <c:v>Free State</c:v>
                </c:pt>
                <c:pt idx="92">
                  <c:v>Free State</c:v>
                </c:pt>
                <c:pt idx="93">
                  <c:v>Free State</c:v>
                </c:pt>
                <c:pt idx="94">
                  <c:v>Gauteng</c:v>
                </c:pt>
                <c:pt idx="95">
                  <c:v>North West</c:v>
                </c:pt>
                <c:pt idx="96">
                  <c:v>North West</c:v>
                </c:pt>
                <c:pt idx="97">
                  <c:v>North West</c:v>
                </c:pt>
                <c:pt idx="98">
                  <c:v>North West</c:v>
                </c:pt>
                <c:pt idx="99">
                  <c:v>Gauteng</c:v>
                </c:pt>
                <c:pt idx="100">
                  <c:v>Free State</c:v>
                </c:pt>
                <c:pt idx="101">
                  <c:v>Gauteng</c:v>
                </c:pt>
                <c:pt idx="102">
                  <c:v>North West</c:v>
                </c:pt>
                <c:pt idx="103">
                  <c:v>Gauteng</c:v>
                </c:pt>
                <c:pt idx="104">
                  <c:v>Free State</c:v>
                </c:pt>
                <c:pt idx="105">
                  <c:v>North West</c:v>
                </c:pt>
                <c:pt idx="106">
                  <c:v>North West</c:v>
                </c:pt>
                <c:pt idx="107">
                  <c:v>North West</c:v>
                </c:pt>
                <c:pt idx="108">
                  <c:v>Free State</c:v>
                </c:pt>
                <c:pt idx="109">
                  <c:v>Free State</c:v>
                </c:pt>
                <c:pt idx="110">
                  <c:v>Gauteng</c:v>
                </c:pt>
                <c:pt idx="111">
                  <c:v>North West</c:v>
                </c:pt>
                <c:pt idx="112">
                  <c:v>Gauteng</c:v>
                </c:pt>
                <c:pt idx="113">
                  <c:v>North West</c:v>
                </c:pt>
                <c:pt idx="114">
                  <c:v>Gauteng</c:v>
                </c:pt>
                <c:pt idx="115">
                  <c:v>Gauteng</c:v>
                </c:pt>
                <c:pt idx="116">
                  <c:v>Gauteng</c:v>
                </c:pt>
                <c:pt idx="117">
                  <c:v>Free State</c:v>
                </c:pt>
                <c:pt idx="118">
                  <c:v>Gauteng</c:v>
                </c:pt>
                <c:pt idx="119">
                  <c:v>Gauteng</c:v>
                </c:pt>
                <c:pt idx="120">
                  <c:v>Gauteng</c:v>
                </c:pt>
                <c:pt idx="121">
                  <c:v>Gauteng</c:v>
                </c:pt>
                <c:pt idx="122">
                  <c:v>North West</c:v>
                </c:pt>
                <c:pt idx="123">
                  <c:v>Gauteng</c:v>
                </c:pt>
                <c:pt idx="124">
                  <c:v>North West</c:v>
                </c:pt>
                <c:pt idx="125">
                  <c:v>Free State</c:v>
                </c:pt>
                <c:pt idx="126">
                  <c:v>Free State</c:v>
                </c:pt>
                <c:pt idx="127">
                  <c:v>North West</c:v>
                </c:pt>
                <c:pt idx="128">
                  <c:v>Free State</c:v>
                </c:pt>
                <c:pt idx="129">
                  <c:v>North West</c:v>
                </c:pt>
                <c:pt idx="130">
                  <c:v>Free State</c:v>
                </c:pt>
                <c:pt idx="131">
                  <c:v>Gauteng</c:v>
                </c:pt>
                <c:pt idx="132">
                  <c:v>Gauteng</c:v>
                </c:pt>
                <c:pt idx="133">
                  <c:v>Gauteng</c:v>
                </c:pt>
                <c:pt idx="134">
                  <c:v>North West</c:v>
                </c:pt>
                <c:pt idx="135">
                  <c:v>Free State</c:v>
                </c:pt>
                <c:pt idx="136">
                  <c:v>North West</c:v>
                </c:pt>
                <c:pt idx="137">
                  <c:v>Free State</c:v>
                </c:pt>
                <c:pt idx="138">
                  <c:v>Gauteng</c:v>
                </c:pt>
                <c:pt idx="139">
                  <c:v>Gauteng</c:v>
                </c:pt>
                <c:pt idx="140">
                  <c:v>North West</c:v>
                </c:pt>
                <c:pt idx="141">
                  <c:v>Gauteng</c:v>
                </c:pt>
                <c:pt idx="142">
                  <c:v>Gauteng</c:v>
                </c:pt>
                <c:pt idx="143">
                  <c:v>Gauteng</c:v>
                </c:pt>
                <c:pt idx="144">
                  <c:v>Gauteng</c:v>
                </c:pt>
                <c:pt idx="145">
                  <c:v>Gauteng</c:v>
                </c:pt>
                <c:pt idx="146">
                  <c:v>Free State</c:v>
                </c:pt>
                <c:pt idx="147">
                  <c:v>North West</c:v>
                </c:pt>
                <c:pt idx="148">
                  <c:v>Gauteng</c:v>
                </c:pt>
                <c:pt idx="149">
                  <c:v>Gauteng</c:v>
                </c:pt>
                <c:pt idx="150">
                  <c:v>Gauteng</c:v>
                </c:pt>
                <c:pt idx="151">
                  <c:v>Free State</c:v>
                </c:pt>
                <c:pt idx="152">
                  <c:v>Gauteng</c:v>
                </c:pt>
                <c:pt idx="153">
                  <c:v>Gauteng</c:v>
                </c:pt>
                <c:pt idx="154">
                  <c:v>Free State</c:v>
                </c:pt>
                <c:pt idx="155">
                  <c:v>Gauteng</c:v>
                </c:pt>
                <c:pt idx="156">
                  <c:v>Gauteng</c:v>
                </c:pt>
                <c:pt idx="157">
                  <c:v>North West</c:v>
                </c:pt>
                <c:pt idx="158">
                  <c:v>Free State</c:v>
                </c:pt>
                <c:pt idx="159">
                  <c:v>Free State</c:v>
                </c:pt>
                <c:pt idx="160">
                  <c:v>Gauteng</c:v>
                </c:pt>
                <c:pt idx="161">
                  <c:v>Gauteng</c:v>
                </c:pt>
                <c:pt idx="162">
                  <c:v>Gauteng</c:v>
                </c:pt>
                <c:pt idx="163">
                  <c:v>Gauteng</c:v>
                </c:pt>
                <c:pt idx="164">
                  <c:v>North West</c:v>
                </c:pt>
                <c:pt idx="165">
                  <c:v>Free State</c:v>
                </c:pt>
                <c:pt idx="166">
                  <c:v>Free State</c:v>
                </c:pt>
                <c:pt idx="167">
                  <c:v>North West</c:v>
                </c:pt>
                <c:pt idx="168">
                  <c:v>North West</c:v>
                </c:pt>
                <c:pt idx="169">
                  <c:v>North West</c:v>
                </c:pt>
                <c:pt idx="170">
                  <c:v>Gauteng</c:v>
                </c:pt>
                <c:pt idx="171">
                  <c:v>Gauteng</c:v>
                </c:pt>
                <c:pt idx="172">
                  <c:v>Gauteng</c:v>
                </c:pt>
                <c:pt idx="173">
                  <c:v>Gauteng</c:v>
                </c:pt>
                <c:pt idx="174">
                  <c:v>North West</c:v>
                </c:pt>
                <c:pt idx="175">
                  <c:v>Free State</c:v>
                </c:pt>
                <c:pt idx="176">
                  <c:v>North West</c:v>
                </c:pt>
                <c:pt idx="177">
                  <c:v>Free State</c:v>
                </c:pt>
                <c:pt idx="178">
                  <c:v>North West</c:v>
                </c:pt>
                <c:pt idx="179">
                  <c:v>Free State</c:v>
                </c:pt>
                <c:pt idx="180">
                  <c:v>North West</c:v>
                </c:pt>
                <c:pt idx="181">
                  <c:v>Gauteng</c:v>
                </c:pt>
                <c:pt idx="182">
                  <c:v>Gauteng</c:v>
                </c:pt>
                <c:pt idx="183">
                  <c:v>Gauteng</c:v>
                </c:pt>
                <c:pt idx="184">
                  <c:v>Gauteng</c:v>
                </c:pt>
                <c:pt idx="185">
                  <c:v>North West</c:v>
                </c:pt>
                <c:pt idx="186">
                  <c:v>Gauteng</c:v>
                </c:pt>
                <c:pt idx="187">
                  <c:v>Gauteng</c:v>
                </c:pt>
                <c:pt idx="188">
                  <c:v>Free State</c:v>
                </c:pt>
                <c:pt idx="189">
                  <c:v>Free State</c:v>
                </c:pt>
                <c:pt idx="190">
                  <c:v>Gauteng</c:v>
                </c:pt>
                <c:pt idx="191">
                  <c:v>Free State</c:v>
                </c:pt>
                <c:pt idx="192">
                  <c:v>Gauteng</c:v>
                </c:pt>
                <c:pt idx="193">
                  <c:v>Gauteng</c:v>
                </c:pt>
                <c:pt idx="194">
                  <c:v>North West</c:v>
                </c:pt>
                <c:pt idx="195">
                  <c:v>North West</c:v>
                </c:pt>
                <c:pt idx="196">
                  <c:v>North West</c:v>
                </c:pt>
                <c:pt idx="197">
                  <c:v>Free State</c:v>
                </c:pt>
                <c:pt idx="198">
                  <c:v>Free State</c:v>
                </c:pt>
                <c:pt idx="199">
                  <c:v>Free State</c:v>
                </c:pt>
                <c:pt idx="200">
                  <c:v>North West</c:v>
                </c:pt>
                <c:pt idx="201">
                  <c:v>Gauteng</c:v>
                </c:pt>
                <c:pt idx="202">
                  <c:v>Gauteng</c:v>
                </c:pt>
                <c:pt idx="203">
                  <c:v>Free State</c:v>
                </c:pt>
                <c:pt idx="204">
                  <c:v>Free State</c:v>
                </c:pt>
                <c:pt idx="205">
                  <c:v>Gauteng</c:v>
                </c:pt>
                <c:pt idx="206">
                  <c:v>North West</c:v>
                </c:pt>
                <c:pt idx="207">
                  <c:v>Gauteng</c:v>
                </c:pt>
                <c:pt idx="208">
                  <c:v>Gauteng</c:v>
                </c:pt>
                <c:pt idx="209">
                  <c:v>Free State</c:v>
                </c:pt>
                <c:pt idx="210">
                  <c:v>Free State</c:v>
                </c:pt>
                <c:pt idx="211">
                  <c:v>Free State</c:v>
                </c:pt>
                <c:pt idx="212">
                  <c:v>North West</c:v>
                </c:pt>
                <c:pt idx="213">
                  <c:v>Free State</c:v>
                </c:pt>
                <c:pt idx="214">
                  <c:v>Gauteng</c:v>
                </c:pt>
                <c:pt idx="215">
                  <c:v>Gauteng</c:v>
                </c:pt>
                <c:pt idx="216">
                  <c:v>Free State</c:v>
                </c:pt>
                <c:pt idx="217">
                  <c:v>Free State</c:v>
                </c:pt>
                <c:pt idx="218">
                  <c:v>Gauteng</c:v>
                </c:pt>
                <c:pt idx="219">
                  <c:v>Gauteng</c:v>
                </c:pt>
                <c:pt idx="220">
                  <c:v>Free State</c:v>
                </c:pt>
                <c:pt idx="221">
                  <c:v>Free State</c:v>
                </c:pt>
                <c:pt idx="222">
                  <c:v>Gauteng</c:v>
                </c:pt>
                <c:pt idx="223">
                  <c:v>North West</c:v>
                </c:pt>
                <c:pt idx="224">
                  <c:v>Gauteng</c:v>
                </c:pt>
                <c:pt idx="225">
                  <c:v>Gauteng</c:v>
                </c:pt>
                <c:pt idx="226">
                  <c:v>North West</c:v>
                </c:pt>
                <c:pt idx="227">
                  <c:v>Free State</c:v>
                </c:pt>
                <c:pt idx="228">
                  <c:v>Gauteng</c:v>
                </c:pt>
                <c:pt idx="229">
                  <c:v>North West</c:v>
                </c:pt>
                <c:pt idx="230">
                  <c:v>Free State</c:v>
                </c:pt>
                <c:pt idx="231">
                  <c:v>Gauteng</c:v>
                </c:pt>
                <c:pt idx="232">
                  <c:v>Free State</c:v>
                </c:pt>
                <c:pt idx="233">
                  <c:v>Gauteng</c:v>
                </c:pt>
                <c:pt idx="234">
                  <c:v>Free State</c:v>
                </c:pt>
                <c:pt idx="235">
                  <c:v>North West</c:v>
                </c:pt>
                <c:pt idx="236">
                  <c:v>Gauteng</c:v>
                </c:pt>
                <c:pt idx="237">
                  <c:v>North West</c:v>
                </c:pt>
                <c:pt idx="238">
                  <c:v>Gauteng</c:v>
                </c:pt>
                <c:pt idx="239">
                  <c:v>Gauteng</c:v>
                </c:pt>
                <c:pt idx="240">
                  <c:v>Gauteng</c:v>
                </c:pt>
                <c:pt idx="241">
                  <c:v>Gauteng</c:v>
                </c:pt>
                <c:pt idx="242">
                  <c:v>Gauteng</c:v>
                </c:pt>
                <c:pt idx="243">
                  <c:v>Gauteng</c:v>
                </c:pt>
                <c:pt idx="244">
                  <c:v>North West</c:v>
                </c:pt>
                <c:pt idx="245">
                  <c:v>North West</c:v>
                </c:pt>
                <c:pt idx="246">
                  <c:v>North West</c:v>
                </c:pt>
                <c:pt idx="247">
                  <c:v>North West</c:v>
                </c:pt>
                <c:pt idx="248">
                  <c:v>Free State</c:v>
                </c:pt>
                <c:pt idx="249">
                  <c:v>North West</c:v>
                </c:pt>
                <c:pt idx="250">
                  <c:v>Free State</c:v>
                </c:pt>
                <c:pt idx="251">
                  <c:v>Free State</c:v>
                </c:pt>
                <c:pt idx="252">
                  <c:v>North West</c:v>
                </c:pt>
                <c:pt idx="253">
                  <c:v>North West</c:v>
                </c:pt>
                <c:pt idx="254">
                  <c:v>North West</c:v>
                </c:pt>
                <c:pt idx="255">
                  <c:v>Free State</c:v>
                </c:pt>
                <c:pt idx="256">
                  <c:v>Free State</c:v>
                </c:pt>
                <c:pt idx="257">
                  <c:v>Gauteng</c:v>
                </c:pt>
                <c:pt idx="258">
                  <c:v>Free State</c:v>
                </c:pt>
                <c:pt idx="259">
                  <c:v>Gauteng</c:v>
                </c:pt>
                <c:pt idx="260">
                  <c:v>Gauteng</c:v>
                </c:pt>
                <c:pt idx="261">
                  <c:v>Free State</c:v>
                </c:pt>
                <c:pt idx="262">
                  <c:v>Gauteng</c:v>
                </c:pt>
                <c:pt idx="263">
                  <c:v>North West</c:v>
                </c:pt>
                <c:pt idx="264">
                  <c:v>Free State</c:v>
                </c:pt>
                <c:pt idx="265">
                  <c:v>Free State</c:v>
                </c:pt>
                <c:pt idx="266">
                  <c:v>Free State</c:v>
                </c:pt>
                <c:pt idx="267">
                  <c:v>North West</c:v>
                </c:pt>
                <c:pt idx="268">
                  <c:v>North West</c:v>
                </c:pt>
                <c:pt idx="269">
                  <c:v>Free State</c:v>
                </c:pt>
                <c:pt idx="270">
                  <c:v>Free State</c:v>
                </c:pt>
                <c:pt idx="271">
                  <c:v>Free State</c:v>
                </c:pt>
                <c:pt idx="272">
                  <c:v>Free State</c:v>
                </c:pt>
                <c:pt idx="273">
                  <c:v>North West</c:v>
                </c:pt>
                <c:pt idx="274">
                  <c:v>Free State</c:v>
                </c:pt>
                <c:pt idx="275">
                  <c:v>Free State</c:v>
                </c:pt>
                <c:pt idx="276">
                  <c:v>Gauteng</c:v>
                </c:pt>
                <c:pt idx="277">
                  <c:v>Free State</c:v>
                </c:pt>
                <c:pt idx="278">
                  <c:v>North West</c:v>
                </c:pt>
                <c:pt idx="279">
                  <c:v>North West</c:v>
                </c:pt>
                <c:pt idx="280">
                  <c:v>Free State</c:v>
                </c:pt>
                <c:pt idx="281">
                  <c:v>North West</c:v>
                </c:pt>
                <c:pt idx="282">
                  <c:v>Gauteng</c:v>
                </c:pt>
                <c:pt idx="283">
                  <c:v>Gauteng</c:v>
                </c:pt>
                <c:pt idx="284">
                  <c:v>Gauteng</c:v>
                </c:pt>
                <c:pt idx="285">
                  <c:v>Gauteng</c:v>
                </c:pt>
                <c:pt idx="286">
                  <c:v>Gauteng</c:v>
                </c:pt>
                <c:pt idx="287">
                  <c:v>North West</c:v>
                </c:pt>
                <c:pt idx="288">
                  <c:v>North West</c:v>
                </c:pt>
                <c:pt idx="289">
                  <c:v>North West</c:v>
                </c:pt>
                <c:pt idx="290">
                  <c:v>Gauteng</c:v>
                </c:pt>
                <c:pt idx="291">
                  <c:v>Free State</c:v>
                </c:pt>
                <c:pt idx="292">
                  <c:v>Gauteng</c:v>
                </c:pt>
                <c:pt idx="293">
                  <c:v>North West</c:v>
                </c:pt>
                <c:pt idx="294">
                  <c:v>Free State</c:v>
                </c:pt>
                <c:pt idx="295">
                  <c:v>Gauteng</c:v>
                </c:pt>
                <c:pt idx="296">
                  <c:v>North West</c:v>
                </c:pt>
                <c:pt idx="297">
                  <c:v>North West</c:v>
                </c:pt>
                <c:pt idx="298">
                  <c:v>Free State</c:v>
                </c:pt>
                <c:pt idx="299">
                  <c:v>Gauteng</c:v>
                </c:pt>
                <c:pt idx="300">
                  <c:v>Gauteng</c:v>
                </c:pt>
                <c:pt idx="301">
                  <c:v>Gauteng</c:v>
                </c:pt>
                <c:pt idx="302">
                  <c:v>Free State</c:v>
                </c:pt>
                <c:pt idx="303">
                  <c:v>Gauteng</c:v>
                </c:pt>
                <c:pt idx="304">
                  <c:v>Free State</c:v>
                </c:pt>
                <c:pt idx="305">
                  <c:v>Gauteng</c:v>
                </c:pt>
                <c:pt idx="306">
                  <c:v>Gauteng</c:v>
                </c:pt>
                <c:pt idx="307">
                  <c:v>Free State</c:v>
                </c:pt>
                <c:pt idx="308">
                  <c:v>North West</c:v>
                </c:pt>
                <c:pt idx="309">
                  <c:v>Gauteng</c:v>
                </c:pt>
                <c:pt idx="310">
                  <c:v>North West</c:v>
                </c:pt>
                <c:pt idx="311">
                  <c:v>Gauteng</c:v>
                </c:pt>
                <c:pt idx="312">
                  <c:v>Gauteng</c:v>
                </c:pt>
                <c:pt idx="313">
                  <c:v>Gauteng</c:v>
                </c:pt>
                <c:pt idx="314">
                  <c:v>Gauteng</c:v>
                </c:pt>
                <c:pt idx="315">
                  <c:v>Free State</c:v>
                </c:pt>
                <c:pt idx="316">
                  <c:v>North West</c:v>
                </c:pt>
                <c:pt idx="317">
                  <c:v>Free State</c:v>
                </c:pt>
                <c:pt idx="318">
                  <c:v>North West</c:v>
                </c:pt>
                <c:pt idx="319">
                  <c:v>Gauteng</c:v>
                </c:pt>
                <c:pt idx="320">
                  <c:v>North West</c:v>
                </c:pt>
                <c:pt idx="321">
                  <c:v>North West</c:v>
                </c:pt>
                <c:pt idx="322">
                  <c:v>North West</c:v>
                </c:pt>
                <c:pt idx="323">
                  <c:v>Free State</c:v>
                </c:pt>
                <c:pt idx="324">
                  <c:v>North West</c:v>
                </c:pt>
                <c:pt idx="325">
                  <c:v>North West</c:v>
                </c:pt>
                <c:pt idx="326">
                  <c:v>North West</c:v>
                </c:pt>
                <c:pt idx="327">
                  <c:v>North West</c:v>
                </c:pt>
                <c:pt idx="328">
                  <c:v>North West</c:v>
                </c:pt>
                <c:pt idx="329">
                  <c:v>Gauteng</c:v>
                </c:pt>
                <c:pt idx="330">
                  <c:v>North West</c:v>
                </c:pt>
                <c:pt idx="331">
                  <c:v>Gauteng</c:v>
                </c:pt>
                <c:pt idx="332">
                  <c:v>Gauteng</c:v>
                </c:pt>
                <c:pt idx="333">
                  <c:v>Gauteng</c:v>
                </c:pt>
                <c:pt idx="334">
                  <c:v>Free State</c:v>
                </c:pt>
                <c:pt idx="335">
                  <c:v>Gauteng</c:v>
                </c:pt>
                <c:pt idx="336">
                  <c:v>Gauteng</c:v>
                </c:pt>
                <c:pt idx="337">
                  <c:v>Free State</c:v>
                </c:pt>
                <c:pt idx="338">
                  <c:v>Gauteng</c:v>
                </c:pt>
                <c:pt idx="339">
                  <c:v>Gauteng</c:v>
                </c:pt>
                <c:pt idx="340">
                  <c:v>Gauteng</c:v>
                </c:pt>
                <c:pt idx="341">
                  <c:v>Free State</c:v>
                </c:pt>
                <c:pt idx="342">
                  <c:v>Free State</c:v>
                </c:pt>
                <c:pt idx="343">
                  <c:v>North West</c:v>
                </c:pt>
                <c:pt idx="344">
                  <c:v>Free State</c:v>
                </c:pt>
                <c:pt idx="345">
                  <c:v>North West</c:v>
                </c:pt>
                <c:pt idx="346">
                  <c:v>North West</c:v>
                </c:pt>
                <c:pt idx="347">
                  <c:v>North West</c:v>
                </c:pt>
                <c:pt idx="348">
                  <c:v>North West</c:v>
                </c:pt>
                <c:pt idx="349">
                  <c:v>Free State</c:v>
                </c:pt>
                <c:pt idx="350">
                  <c:v>Gauteng</c:v>
                </c:pt>
                <c:pt idx="351">
                  <c:v>North West</c:v>
                </c:pt>
                <c:pt idx="352">
                  <c:v>Gauteng</c:v>
                </c:pt>
                <c:pt idx="353">
                  <c:v>North West</c:v>
                </c:pt>
                <c:pt idx="354">
                  <c:v>Gauteng</c:v>
                </c:pt>
                <c:pt idx="355">
                  <c:v>Gauteng</c:v>
                </c:pt>
                <c:pt idx="356">
                  <c:v>Free State</c:v>
                </c:pt>
                <c:pt idx="357">
                  <c:v>North West</c:v>
                </c:pt>
                <c:pt idx="358">
                  <c:v>Gauteng</c:v>
                </c:pt>
                <c:pt idx="359">
                  <c:v>North West</c:v>
                </c:pt>
                <c:pt idx="360">
                  <c:v>North West</c:v>
                </c:pt>
                <c:pt idx="361">
                  <c:v>Gauteng</c:v>
                </c:pt>
                <c:pt idx="362">
                  <c:v>Free State</c:v>
                </c:pt>
                <c:pt idx="363">
                  <c:v>North West</c:v>
                </c:pt>
                <c:pt idx="364">
                  <c:v>Free State</c:v>
                </c:pt>
                <c:pt idx="365">
                  <c:v>Gauteng</c:v>
                </c:pt>
                <c:pt idx="366">
                  <c:v>North West</c:v>
                </c:pt>
                <c:pt idx="367">
                  <c:v>North West</c:v>
                </c:pt>
                <c:pt idx="368">
                  <c:v>Free State</c:v>
                </c:pt>
                <c:pt idx="369">
                  <c:v>North West</c:v>
                </c:pt>
                <c:pt idx="370">
                  <c:v>Free State</c:v>
                </c:pt>
                <c:pt idx="371">
                  <c:v>Free State</c:v>
                </c:pt>
                <c:pt idx="372">
                  <c:v>North West</c:v>
                </c:pt>
                <c:pt idx="373">
                  <c:v>North West</c:v>
                </c:pt>
                <c:pt idx="374">
                  <c:v>Gauteng</c:v>
                </c:pt>
                <c:pt idx="375">
                  <c:v>Gauteng</c:v>
                </c:pt>
                <c:pt idx="376">
                  <c:v>Gauteng</c:v>
                </c:pt>
                <c:pt idx="377">
                  <c:v>Free State</c:v>
                </c:pt>
                <c:pt idx="378">
                  <c:v>Gauteng</c:v>
                </c:pt>
                <c:pt idx="379">
                  <c:v>Gauteng</c:v>
                </c:pt>
                <c:pt idx="380">
                  <c:v>Free State</c:v>
                </c:pt>
                <c:pt idx="381">
                  <c:v>Free State</c:v>
                </c:pt>
                <c:pt idx="382">
                  <c:v>Gauteng</c:v>
                </c:pt>
                <c:pt idx="383">
                  <c:v>Free State</c:v>
                </c:pt>
                <c:pt idx="384">
                  <c:v>Free State</c:v>
                </c:pt>
                <c:pt idx="385">
                  <c:v>Free State</c:v>
                </c:pt>
                <c:pt idx="386">
                  <c:v>Free State</c:v>
                </c:pt>
                <c:pt idx="387">
                  <c:v>North West</c:v>
                </c:pt>
                <c:pt idx="388">
                  <c:v>Gauteng</c:v>
                </c:pt>
                <c:pt idx="389">
                  <c:v>Gauteng</c:v>
                </c:pt>
                <c:pt idx="390">
                  <c:v>Gauteng</c:v>
                </c:pt>
                <c:pt idx="391">
                  <c:v>North West</c:v>
                </c:pt>
                <c:pt idx="392">
                  <c:v>North West</c:v>
                </c:pt>
                <c:pt idx="393">
                  <c:v>Free State</c:v>
                </c:pt>
                <c:pt idx="394">
                  <c:v>North West</c:v>
                </c:pt>
                <c:pt idx="395">
                  <c:v>Free State</c:v>
                </c:pt>
                <c:pt idx="396">
                  <c:v>North West</c:v>
                </c:pt>
                <c:pt idx="397">
                  <c:v>Gauteng</c:v>
                </c:pt>
                <c:pt idx="398">
                  <c:v>North West</c:v>
                </c:pt>
                <c:pt idx="399">
                  <c:v>Gauteng</c:v>
                </c:pt>
                <c:pt idx="400">
                  <c:v>Free State</c:v>
                </c:pt>
                <c:pt idx="401">
                  <c:v>Gauteng</c:v>
                </c:pt>
                <c:pt idx="402">
                  <c:v>Gauteng</c:v>
                </c:pt>
                <c:pt idx="403">
                  <c:v>North West</c:v>
                </c:pt>
                <c:pt idx="404">
                  <c:v>Free State</c:v>
                </c:pt>
                <c:pt idx="405">
                  <c:v>Gauteng</c:v>
                </c:pt>
                <c:pt idx="406">
                  <c:v>North West</c:v>
                </c:pt>
                <c:pt idx="407">
                  <c:v>North West</c:v>
                </c:pt>
                <c:pt idx="408">
                  <c:v>Free State</c:v>
                </c:pt>
                <c:pt idx="409">
                  <c:v>Free State</c:v>
                </c:pt>
                <c:pt idx="410">
                  <c:v>North West</c:v>
                </c:pt>
                <c:pt idx="411">
                  <c:v>North West</c:v>
                </c:pt>
                <c:pt idx="412">
                  <c:v>North West</c:v>
                </c:pt>
                <c:pt idx="413">
                  <c:v>Gauteng</c:v>
                </c:pt>
                <c:pt idx="414">
                  <c:v>Free State</c:v>
                </c:pt>
                <c:pt idx="415">
                  <c:v>North West</c:v>
                </c:pt>
                <c:pt idx="416">
                  <c:v>Free State</c:v>
                </c:pt>
                <c:pt idx="417">
                  <c:v>Gauteng</c:v>
                </c:pt>
                <c:pt idx="418">
                  <c:v>Free State</c:v>
                </c:pt>
                <c:pt idx="419">
                  <c:v>Gauteng</c:v>
                </c:pt>
                <c:pt idx="420">
                  <c:v>Free State</c:v>
                </c:pt>
                <c:pt idx="421">
                  <c:v>Gauteng</c:v>
                </c:pt>
                <c:pt idx="422">
                  <c:v>Free State</c:v>
                </c:pt>
                <c:pt idx="423">
                  <c:v>Free State</c:v>
                </c:pt>
                <c:pt idx="424">
                  <c:v>Gauteng</c:v>
                </c:pt>
                <c:pt idx="425">
                  <c:v>Free State</c:v>
                </c:pt>
                <c:pt idx="426">
                  <c:v>North West</c:v>
                </c:pt>
                <c:pt idx="427">
                  <c:v>Free State</c:v>
                </c:pt>
                <c:pt idx="428">
                  <c:v>Gauteng</c:v>
                </c:pt>
                <c:pt idx="429">
                  <c:v>Free State</c:v>
                </c:pt>
                <c:pt idx="430">
                  <c:v>Gauteng</c:v>
                </c:pt>
                <c:pt idx="431">
                  <c:v>Gauteng</c:v>
                </c:pt>
                <c:pt idx="432">
                  <c:v>Free State</c:v>
                </c:pt>
                <c:pt idx="433">
                  <c:v>Gauteng</c:v>
                </c:pt>
                <c:pt idx="434">
                  <c:v>Gauteng</c:v>
                </c:pt>
                <c:pt idx="435">
                  <c:v>Gauteng</c:v>
                </c:pt>
                <c:pt idx="436">
                  <c:v>Free State</c:v>
                </c:pt>
                <c:pt idx="437">
                  <c:v>North West</c:v>
                </c:pt>
                <c:pt idx="438">
                  <c:v>Gauteng</c:v>
                </c:pt>
                <c:pt idx="439">
                  <c:v>Gauteng</c:v>
                </c:pt>
                <c:pt idx="440">
                  <c:v>Free State</c:v>
                </c:pt>
                <c:pt idx="441">
                  <c:v>Gauteng</c:v>
                </c:pt>
                <c:pt idx="442">
                  <c:v>Gauteng</c:v>
                </c:pt>
                <c:pt idx="443">
                  <c:v>Free State</c:v>
                </c:pt>
                <c:pt idx="444">
                  <c:v>North West</c:v>
                </c:pt>
                <c:pt idx="445">
                  <c:v>North West</c:v>
                </c:pt>
                <c:pt idx="446">
                  <c:v>Free State</c:v>
                </c:pt>
                <c:pt idx="447">
                  <c:v>Gauteng</c:v>
                </c:pt>
                <c:pt idx="448">
                  <c:v>Gauteng</c:v>
                </c:pt>
                <c:pt idx="449">
                  <c:v>Gauteng</c:v>
                </c:pt>
                <c:pt idx="450">
                  <c:v>Gauteng</c:v>
                </c:pt>
                <c:pt idx="451">
                  <c:v>Free State</c:v>
                </c:pt>
                <c:pt idx="452">
                  <c:v>Gauteng</c:v>
                </c:pt>
                <c:pt idx="453">
                  <c:v>Free State</c:v>
                </c:pt>
                <c:pt idx="454">
                  <c:v>Free State</c:v>
                </c:pt>
                <c:pt idx="455">
                  <c:v>North West</c:v>
                </c:pt>
                <c:pt idx="456">
                  <c:v>Gauteng</c:v>
                </c:pt>
                <c:pt idx="457">
                  <c:v>Gauteng</c:v>
                </c:pt>
                <c:pt idx="458">
                  <c:v>Gauteng</c:v>
                </c:pt>
                <c:pt idx="459">
                  <c:v>Gauteng</c:v>
                </c:pt>
                <c:pt idx="460">
                  <c:v>Gauteng</c:v>
                </c:pt>
                <c:pt idx="461">
                  <c:v>North West</c:v>
                </c:pt>
                <c:pt idx="462">
                  <c:v>Free State</c:v>
                </c:pt>
                <c:pt idx="463">
                  <c:v>North West</c:v>
                </c:pt>
                <c:pt idx="464">
                  <c:v>Gauteng</c:v>
                </c:pt>
                <c:pt idx="465">
                  <c:v>Gauteng</c:v>
                </c:pt>
                <c:pt idx="466">
                  <c:v>Free State</c:v>
                </c:pt>
                <c:pt idx="467">
                  <c:v>Free State</c:v>
                </c:pt>
                <c:pt idx="468">
                  <c:v>Gauteng</c:v>
                </c:pt>
                <c:pt idx="469">
                  <c:v>Free State</c:v>
                </c:pt>
                <c:pt idx="470">
                  <c:v>North West</c:v>
                </c:pt>
                <c:pt idx="471">
                  <c:v>Gauteng</c:v>
                </c:pt>
                <c:pt idx="472">
                  <c:v>Free State</c:v>
                </c:pt>
                <c:pt idx="473">
                  <c:v>Gauteng</c:v>
                </c:pt>
                <c:pt idx="474">
                  <c:v>Free State</c:v>
                </c:pt>
                <c:pt idx="475">
                  <c:v>Gauteng</c:v>
                </c:pt>
                <c:pt idx="476">
                  <c:v>Free State</c:v>
                </c:pt>
                <c:pt idx="477">
                  <c:v>Gauteng</c:v>
                </c:pt>
                <c:pt idx="478">
                  <c:v>Gauteng</c:v>
                </c:pt>
                <c:pt idx="479">
                  <c:v>Free State</c:v>
                </c:pt>
                <c:pt idx="480">
                  <c:v>Gauteng</c:v>
                </c:pt>
                <c:pt idx="481">
                  <c:v>Free State</c:v>
                </c:pt>
                <c:pt idx="482">
                  <c:v>North West</c:v>
                </c:pt>
                <c:pt idx="483">
                  <c:v>Free State</c:v>
                </c:pt>
                <c:pt idx="484">
                  <c:v>Gauteng</c:v>
                </c:pt>
                <c:pt idx="485">
                  <c:v>North West</c:v>
                </c:pt>
                <c:pt idx="486">
                  <c:v>Gauteng</c:v>
                </c:pt>
                <c:pt idx="487">
                  <c:v>North West</c:v>
                </c:pt>
                <c:pt idx="488">
                  <c:v>North West</c:v>
                </c:pt>
                <c:pt idx="489">
                  <c:v>Free State</c:v>
                </c:pt>
                <c:pt idx="490">
                  <c:v>Gauteng</c:v>
                </c:pt>
                <c:pt idx="491">
                  <c:v>Free State</c:v>
                </c:pt>
                <c:pt idx="492">
                  <c:v>Free State</c:v>
                </c:pt>
                <c:pt idx="493">
                  <c:v>Free State</c:v>
                </c:pt>
                <c:pt idx="494">
                  <c:v>North West</c:v>
                </c:pt>
                <c:pt idx="495">
                  <c:v>North West</c:v>
                </c:pt>
                <c:pt idx="496">
                  <c:v>Free State</c:v>
                </c:pt>
                <c:pt idx="497">
                  <c:v>North West</c:v>
                </c:pt>
                <c:pt idx="498">
                  <c:v>Gauteng</c:v>
                </c:pt>
                <c:pt idx="499">
                  <c:v>Gauteng</c:v>
                </c:pt>
                <c:pt idx="500">
                  <c:v>North West</c:v>
                </c:pt>
              </c:strCache>
            </c:strRef>
          </c:cat>
          <c:val>
            <c:numRef>
              <c:f>ORDER_DATA!$M$2:$M$502</c:f>
              <c:numCache>
                <c:formatCode>General</c:formatCode>
                <c:ptCount val="501"/>
                <c:pt idx="0">
                  <c:v>0</c:v>
                </c:pt>
                <c:pt idx="1" c:formatCode="[$R-1C09]\ #,##0.00;[$R-1C09]\ \-#,##0.00">
                  <c:v>4940</c:v>
                </c:pt>
                <c:pt idx="2" c:formatCode="[$R-1C09]\ #,##0.00;[$R-1C09]\ \-#,##0.00">
                  <c:v>7175</c:v>
                </c:pt>
                <c:pt idx="3" c:formatCode="[$R-1C09]\ #,##0.00;[$R-1C09]\ \-#,##0.00">
                  <c:v>728</c:v>
                </c:pt>
                <c:pt idx="4" c:formatCode="[$R-1C09]\ #,##0.00;[$R-1C09]\ \-#,##0.00">
                  <c:v>754</c:v>
                </c:pt>
                <c:pt idx="5" c:formatCode="[$R-1C09]\ #,##0.00;[$R-1C09]\ \-#,##0.00">
                  <c:v>1680</c:v>
                </c:pt>
                <c:pt idx="6" c:formatCode="[$R-1C09]\ #,##0.00;[$R-1C09]\ \-#,##0.00">
                  <c:v>14040</c:v>
                </c:pt>
                <c:pt idx="7" c:formatCode="[$R-1C09]\ #,##0.00;[$R-1C09]\ \-#,##0.00">
                  <c:v>416</c:v>
                </c:pt>
                <c:pt idx="8" c:formatCode="[$R-1C09]\ #,##0.00;[$R-1C09]\ \-#,##0.00">
                  <c:v>650</c:v>
                </c:pt>
                <c:pt idx="9" c:formatCode="[$R-1C09]\ #,##0.00;[$R-1C09]\ \-#,##0.00">
                  <c:v>2100</c:v>
                </c:pt>
                <c:pt idx="10" c:formatCode="[$R-1C09]\ #,##0.00;[$R-1C09]\ \-#,##0.00">
                  <c:v>4070</c:v>
                </c:pt>
                <c:pt idx="11" c:formatCode="[$R-1C09]\ #,##0.00;[$R-1C09]\ \-#,##0.00">
                  <c:v>870</c:v>
                </c:pt>
                <c:pt idx="12" c:formatCode="[$R-1C09]\ #,##0.00;[$R-1C09]\ \-#,##0.00">
                  <c:v>3330</c:v>
                </c:pt>
                <c:pt idx="13" c:formatCode="[$R-1C09]\ #,##0.00;[$R-1C09]\ \-#,##0.00">
                  <c:v>5250</c:v>
                </c:pt>
                <c:pt idx="14" c:formatCode="[$R-1C09]\ #,##0.00;[$R-1C09]\ \-#,##0.00">
                  <c:v>2220</c:v>
                </c:pt>
                <c:pt idx="15" c:formatCode="[$R-1C09]\ #,##0.00;[$R-1C09]\ \-#,##0.00">
                  <c:v>3150</c:v>
                </c:pt>
                <c:pt idx="16" c:formatCode="[$R-1C09]\ #,##0.00;[$R-1C09]\ \-#,##0.00">
                  <c:v>598</c:v>
                </c:pt>
                <c:pt idx="17" c:formatCode="[$R-1C09]\ #,##0.00;[$R-1C09]\ \-#,##0.00">
                  <c:v>2275</c:v>
                </c:pt>
                <c:pt idx="18" c:formatCode="[$R-1C09]\ #,##0.00;[$R-1C09]\ \-#,##0.00">
                  <c:v>4625</c:v>
                </c:pt>
                <c:pt idx="19" c:formatCode="[$R-1C09]\ #,##0.00;[$R-1C09]\ \-#,##0.00">
                  <c:v>3045</c:v>
                </c:pt>
                <c:pt idx="20" c:formatCode="[$R-1C09]\ #,##0.00;[$R-1C09]\ \-#,##0.00">
                  <c:v>1750</c:v>
                </c:pt>
                <c:pt idx="21" c:formatCode="[$R-1C09]\ #,##0.00;[$R-1C09]\ \-#,##0.00">
                  <c:v>2590</c:v>
                </c:pt>
                <c:pt idx="22" c:formatCode="[$R-1C09]\ #,##0.00;[$R-1C09]\ \-#,##0.00">
                  <c:v>6845</c:v>
                </c:pt>
                <c:pt idx="23" c:formatCode="[$R-1C09]\ #,##0.00;[$R-1C09]\ \-#,##0.00">
                  <c:v>1110</c:v>
                </c:pt>
                <c:pt idx="24" c:formatCode="[$R-1C09]\ #,##0.00;[$R-1C09]\ \-#,##0.00">
                  <c:v>1850</c:v>
                </c:pt>
                <c:pt idx="25" c:formatCode="[$R-1C09]\ #,##0.00;[$R-1C09]\ \-#,##0.00">
                  <c:v>1480</c:v>
                </c:pt>
                <c:pt idx="26" c:formatCode="[$R-1C09]\ #,##0.00;[$R-1C09]\ \-#,##0.00">
                  <c:v>1482</c:v>
                </c:pt>
                <c:pt idx="27" c:formatCode="[$R-1C09]\ #,##0.00;[$R-1C09]\ \-#,##0.00">
                  <c:v>2730</c:v>
                </c:pt>
                <c:pt idx="28" c:formatCode="[$R-1C09]\ #,##0.00;[$R-1C09]\ \-#,##0.00">
                  <c:v>1300</c:v>
                </c:pt>
                <c:pt idx="29" c:formatCode="[$R-1C09]\ #,##0.00;[$R-1C09]\ \-#,##0.00">
                  <c:v>5180</c:v>
                </c:pt>
                <c:pt idx="30" c:formatCode="[$R-1C09]\ #,##0.00;[$R-1C09]\ \-#,##0.00">
                  <c:v>3780</c:v>
                </c:pt>
                <c:pt idx="31" c:formatCode="[$R-1C09]\ #,##0.00;[$R-1C09]\ \-#,##0.00">
                  <c:v>858</c:v>
                </c:pt>
                <c:pt idx="32" c:formatCode="[$R-1C09]\ #,##0.00;[$R-1C09]\ \-#,##0.00">
                  <c:v>18980</c:v>
                </c:pt>
                <c:pt idx="33" c:formatCode="[$R-1C09]\ #,##0.00;[$R-1C09]\ \-#,##0.00">
                  <c:v>1560</c:v>
                </c:pt>
                <c:pt idx="34" c:formatCode="[$R-1C09]\ #,##0.00;[$R-1C09]\ \-#,##0.00">
                  <c:v>700</c:v>
                </c:pt>
                <c:pt idx="35" c:formatCode="[$R-1C09]\ #,##0.00;[$R-1C09]\ \-#,##0.00">
                  <c:v>3330</c:v>
                </c:pt>
                <c:pt idx="36" c:formatCode="[$R-1C09]\ #,##0.00;[$R-1C09]\ \-#,##0.00">
                  <c:v>8060</c:v>
                </c:pt>
                <c:pt idx="37" c:formatCode="[$R-1C09]\ #,##0.00;[$R-1C09]\ \-#,##0.00">
                  <c:v>4440</c:v>
                </c:pt>
                <c:pt idx="38" c:formatCode="[$R-1C09]\ #,##0.00;[$R-1C09]\ \-#,##0.00">
                  <c:v>546</c:v>
                </c:pt>
                <c:pt idx="39" c:formatCode="[$R-1C09]\ #,##0.00;[$R-1C09]\ \-#,##0.00">
                  <c:v>3330</c:v>
                </c:pt>
                <c:pt idx="40" c:formatCode="[$R-1C09]\ #,##0.00;[$R-1C09]\ \-#,##0.00">
                  <c:v>3330</c:v>
                </c:pt>
                <c:pt idx="41" c:formatCode="[$R-1C09]\ #,##0.00;[$R-1C09]\ \-#,##0.00">
                  <c:v>520</c:v>
                </c:pt>
                <c:pt idx="42" c:formatCode="[$R-1C09]\ #,##0.00;[$R-1C09]\ \-#,##0.00">
                  <c:v>350</c:v>
                </c:pt>
                <c:pt idx="43" c:formatCode="[$R-1C09]\ #,##0.00;[$R-1C09]\ \-#,##0.00">
                  <c:v>1925</c:v>
                </c:pt>
                <c:pt idx="44" c:formatCode="[$R-1C09]\ #,##0.00;[$R-1C09]\ \-#,##0.00">
                  <c:v>2175</c:v>
                </c:pt>
                <c:pt idx="45" c:formatCode="[$R-1C09]\ #,##0.00;[$R-1C09]\ \-#,##0.00">
                  <c:v>1925</c:v>
                </c:pt>
                <c:pt idx="46" c:formatCode="[$R-1C09]\ #,##0.00;[$R-1C09]\ \-#,##0.00">
                  <c:v>3380</c:v>
                </c:pt>
                <c:pt idx="47" c:formatCode="[$R-1C09]\ #,##0.00;[$R-1C09]\ \-#,##0.00">
                  <c:v>1740</c:v>
                </c:pt>
                <c:pt idx="48" c:formatCode="[$R-1C09]\ #,##0.00;[$R-1C09]\ \-#,##0.00">
                  <c:v>5735</c:v>
                </c:pt>
                <c:pt idx="49" c:formatCode="[$R-1C09]\ #,##0.00;[$R-1C09]\ \-#,##0.00">
                  <c:v>870</c:v>
                </c:pt>
                <c:pt idx="50" c:formatCode="[$R-1C09]\ #,##0.00;[$R-1C09]\ \-#,##0.00">
                  <c:v>435</c:v>
                </c:pt>
                <c:pt idx="51" c:formatCode="[$R-1C09]\ #,##0.00;[$R-1C09]\ \-#,##0.00">
                  <c:v>7540</c:v>
                </c:pt>
                <c:pt idx="52" c:formatCode="[$R-1C09]\ #,##0.00;[$R-1C09]\ \-#,##0.00">
                  <c:v>2450</c:v>
                </c:pt>
                <c:pt idx="53" c:formatCode="[$R-1C09]\ #,##0.00;[$R-1C09]\ \-#,##0.00">
                  <c:v>364</c:v>
                </c:pt>
                <c:pt idx="54" c:formatCode="[$R-1C09]\ #,##0.00;[$R-1C09]\ \-#,##0.00">
                  <c:v>546</c:v>
                </c:pt>
                <c:pt idx="55" c:formatCode="[$R-1C09]\ #,##0.00;[$R-1C09]\ \-#,##0.00">
                  <c:v>2590</c:v>
                </c:pt>
                <c:pt idx="56" c:formatCode="[$R-1C09]\ #,##0.00;[$R-1C09]\ \-#,##0.00">
                  <c:v>5460</c:v>
                </c:pt>
                <c:pt idx="57" c:formatCode="[$R-1C09]\ #,##0.00;[$R-1C09]\ \-#,##0.00">
                  <c:v>5600</c:v>
                </c:pt>
                <c:pt idx="58" c:formatCode="[$R-1C09]\ #,##0.00;[$R-1C09]\ \-#,##0.00">
                  <c:v>1015</c:v>
                </c:pt>
                <c:pt idx="59" c:formatCode="[$R-1C09]\ #,##0.00;[$R-1C09]\ \-#,##0.00">
                  <c:v>4420</c:v>
                </c:pt>
                <c:pt idx="60" c:formatCode="[$R-1C09]\ #,##0.00;[$R-1C09]\ \-#,##0.00">
                  <c:v>4810</c:v>
                </c:pt>
                <c:pt idx="61" c:formatCode="[$R-1C09]\ #,##0.00;[$R-1C09]\ \-#,##0.00">
                  <c:v>3360</c:v>
                </c:pt>
                <c:pt idx="62" c:formatCode="[$R-1C09]\ #,##0.00;[$R-1C09]\ \-#,##0.00">
                  <c:v>2100</c:v>
                </c:pt>
                <c:pt idx="63" c:formatCode="[$R-1C09]\ #,##0.00;[$R-1C09]\ \-#,##0.00">
                  <c:v>884</c:v>
                </c:pt>
                <c:pt idx="64" c:formatCode="[$R-1C09]\ #,##0.00;[$R-1C09]\ \-#,##0.00">
                  <c:v>3780</c:v>
                </c:pt>
                <c:pt idx="65" c:formatCode="[$R-1C09]\ #,##0.00;[$R-1C09]\ \-#,##0.00">
                  <c:v>7830</c:v>
                </c:pt>
                <c:pt idx="66" c:formatCode="[$R-1C09]\ #,##0.00;[$R-1C09]\ \-#,##0.00">
                  <c:v>2035</c:v>
                </c:pt>
                <c:pt idx="67" c:formatCode="[$R-1C09]\ #,##0.00;[$R-1C09]\ \-#,##0.00">
                  <c:v>4495</c:v>
                </c:pt>
                <c:pt idx="68" c:formatCode="[$R-1C09]\ #,##0.00;[$R-1C09]\ \-#,##0.00">
                  <c:v>4550</c:v>
                </c:pt>
                <c:pt idx="69" c:formatCode="[$R-1C09]\ #,##0.00;[$R-1C09]\ \-#,##0.00">
                  <c:v>2800</c:v>
                </c:pt>
                <c:pt idx="70" c:formatCode="[$R-1C09]\ #,##0.00;[$R-1C09]\ \-#,##0.00">
                  <c:v>312</c:v>
                </c:pt>
                <c:pt idx="71" c:formatCode="[$R-1C09]\ #,##0.00;[$R-1C09]\ \-#,##0.00">
                  <c:v>7540</c:v>
                </c:pt>
                <c:pt idx="72" c:formatCode="[$R-1C09]\ #,##0.00;[$R-1C09]\ \-#,##0.00">
                  <c:v>4620</c:v>
                </c:pt>
                <c:pt idx="73" c:formatCode="[$R-1C09]\ #,##0.00;[$R-1C09]\ \-#,##0.00">
                  <c:v>18200</c:v>
                </c:pt>
                <c:pt idx="74" c:formatCode="[$R-1C09]\ #,##0.00;[$R-1C09]\ \-#,##0.00">
                  <c:v>4420</c:v>
                </c:pt>
                <c:pt idx="75" c:formatCode="[$R-1C09]\ #,##0.00;[$R-1C09]\ \-#,##0.00">
                  <c:v>2625</c:v>
                </c:pt>
                <c:pt idx="76" c:formatCode="[$R-1C09]\ #,##0.00;[$R-1C09]\ \-#,##0.00">
                  <c:v>3885</c:v>
                </c:pt>
                <c:pt idx="77" c:formatCode="[$R-1C09]\ #,##0.00;[$R-1C09]\ \-#,##0.00">
                  <c:v>16800</c:v>
                </c:pt>
                <c:pt idx="78" c:formatCode="[$R-1C09]\ #,##0.00;[$R-1C09]\ \-#,##0.00">
                  <c:v>1040</c:v>
                </c:pt>
                <c:pt idx="79" c:formatCode="[$R-1C09]\ #,##0.00;[$R-1C09]\ \-#,##0.00">
                  <c:v>6930</c:v>
                </c:pt>
                <c:pt idx="80" c:formatCode="[$R-1C09]\ #,##0.00;[$R-1C09]\ \-#,##0.00">
                  <c:v>494</c:v>
                </c:pt>
                <c:pt idx="81" c:formatCode="[$R-1C09]\ #,##0.00;[$R-1C09]\ \-#,##0.00">
                  <c:v>3190</c:v>
                </c:pt>
                <c:pt idx="82" c:formatCode="[$R-1C09]\ #,##0.00;[$R-1C09]\ \-#,##0.00">
                  <c:v>4550</c:v>
                </c:pt>
                <c:pt idx="83" c:formatCode="[$R-1C09]\ #,##0.00;[$R-1C09]\ \-#,##0.00">
                  <c:v>2755</c:v>
                </c:pt>
                <c:pt idx="84" c:formatCode="[$R-1C09]\ #,##0.00;[$R-1C09]\ \-#,##0.00">
                  <c:v>4420</c:v>
                </c:pt>
                <c:pt idx="85" c:formatCode="[$R-1C09]\ #,##0.00;[$R-1C09]\ \-#,##0.00">
                  <c:v>630</c:v>
                </c:pt>
                <c:pt idx="86" c:formatCode="[$R-1C09]\ #,##0.00;[$R-1C09]\ \-#,##0.00">
                  <c:v>4640</c:v>
                </c:pt>
                <c:pt idx="87" c:formatCode="[$R-1C09]\ #,##0.00;[$R-1C09]\ \-#,##0.00">
                  <c:v>806</c:v>
                </c:pt>
                <c:pt idx="88" c:formatCode="[$R-1C09]\ #,##0.00;[$R-1C09]\ \-#,##0.00">
                  <c:v>338</c:v>
                </c:pt>
                <c:pt idx="89" c:formatCode="[$R-1C09]\ #,##0.00;[$R-1C09]\ \-#,##0.00">
                  <c:v>3500</c:v>
                </c:pt>
                <c:pt idx="90" c:formatCode="[$R-1C09]\ #,##0.00;[$R-1C09]\ \-#,##0.00">
                  <c:v>260</c:v>
                </c:pt>
                <c:pt idx="91" c:formatCode="[$R-1C09]\ #,##0.00;[$R-1C09]\ \-#,##0.00">
                  <c:v>520</c:v>
                </c:pt>
                <c:pt idx="92" c:formatCode="[$R-1C09]\ #,##0.00;[$R-1C09]\ \-#,##0.00">
                  <c:v>4640</c:v>
                </c:pt>
                <c:pt idx="93" c:formatCode="[$R-1C09]\ #,##0.00;[$R-1C09]\ \-#,##0.00">
                  <c:v>2035</c:v>
                </c:pt>
                <c:pt idx="94" c:formatCode="[$R-1C09]\ #,##0.00;[$R-1C09]\ \-#,##0.00">
                  <c:v>2800</c:v>
                </c:pt>
                <c:pt idx="95" c:formatCode="[$R-1C09]\ #,##0.00;[$R-1C09]\ \-#,##0.00">
                  <c:v>4410</c:v>
                </c:pt>
                <c:pt idx="96" c:formatCode="[$R-1C09]\ #,##0.00;[$R-1C09]\ \-#,##0.00">
                  <c:v>1015</c:v>
                </c:pt>
                <c:pt idx="97" c:formatCode="[$R-1C09]\ #,##0.00;[$R-1C09]\ \-#,##0.00">
                  <c:v>11340</c:v>
                </c:pt>
                <c:pt idx="98" c:formatCode="[$R-1C09]\ #,##0.00;[$R-1C09]\ \-#,##0.00">
                  <c:v>2030</c:v>
                </c:pt>
                <c:pt idx="99" c:formatCode="[$R-1C09]\ #,##0.00;[$R-1C09]\ \-#,##0.00">
                  <c:v>1300</c:v>
                </c:pt>
                <c:pt idx="100" c:formatCode="[$R-1C09]\ #,##0.00;[$R-1C09]\ \-#,##0.00">
                  <c:v>702</c:v>
                </c:pt>
                <c:pt idx="101" c:formatCode="[$R-1C09]\ #,##0.00;[$R-1C09]\ \-#,##0.00">
                  <c:v>572</c:v>
                </c:pt>
                <c:pt idx="102" c:formatCode="[$R-1C09]\ #,##0.00;[$R-1C09]\ \-#,##0.00">
                  <c:v>525</c:v>
                </c:pt>
                <c:pt idx="103" c:formatCode="[$R-1C09]\ #,##0.00;[$R-1C09]\ \-#,##0.00">
                  <c:v>7350</c:v>
                </c:pt>
                <c:pt idx="104" c:formatCode="[$R-1C09]\ #,##0.00;[$R-1C09]\ \-#,##0.00">
                  <c:v>8320</c:v>
                </c:pt>
                <c:pt idx="105" c:formatCode="[$R-1C09]\ #,##0.00;[$R-1C09]\ \-#,##0.00">
                  <c:v>6930</c:v>
                </c:pt>
                <c:pt idx="106" c:formatCode="[$R-1C09]\ #,##0.00;[$R-1C09]\ \-#,##0.00">
                  <c:v>7020</c:v>
                </c:pt>
                <c:pt idx="107" c:formatCode="[$R-1C09]\ #,##0.00;[$R-1C09]\ \-#,##0.00">
                  <c:v>5775</c:v>
                </c:pt>
                <c:pt idx="108" c:formatCode="[$R-1C09]\ #,##0.00;[$R-1C09]\ \-#,##0.00">
                  <c:v>6930</c:v>
                </c:pt>
                <c:pt idx="109" c:formatCode="[$R-1C09]\ #,##0.00;[$R-1C09]\ \-#,##0.00">
                  <c:v>4900</c:v>
                </c:pt>
                <c:pt idx="110" c:formatCode="[$R-1C09]\ #,##0.00;[$R-1C09]\ \-#,##0.00">
                  <c:v>4200</c:v>
                </c:pt>
                <c:pt idx="111" c:formatCode="[$R-1C09]\ #,##0.00;[$R-1C09]\ \-#,##0.00">
                  <c:v>2310</c:v>
                </c:pt>
                <c:pt idx="112" c:formatCode="[$R-1C09]\ #,##0.00;[$R-1C09]\ \-#,##0.00">
                  <c:v>4930</c:v>
                </c:pt>
                <c:pt idx="113" c:formatCode="[$R-1C09]\ #,##0.00;[$R-1C09]\ \-#,##0.00">
                  <c:v>858</c:v>
                </c:pt>
                <c:pt idx="114" c:formatCode="[$R-1C09]\ #,##0.00;[$R-1C09]\ \-#,##0.00">
                  <c:v>6510</c:v>
                </c:pt>
                <c:pt idx="115" c:formatCode="[$R-1C09]\ #,##0.00;[$R-1C09]\ \-#,##0.00">
                  <c:v>5720</c:v>
                </c:pt>
                <c:pt idx="116" c:formatCode="[$R-1C09]\ #,##0.00;[$R-1C09]\ \-#,##0.00">
                  <c:v>840</c:v>
                </c:pt>
                <c:pt idx="117" c:formatCode="[$R-1C09]\ #,##0.00;[$R-1C09]\ \-#,##0.00">
                  <c:v>9100</c:v>
                </c:pt>
                <c:pt idx="118" c:formatCode="[$R-1C09]\ #,##0.00;[$R-1C09]\ \-#,##0.00">
                  <c:v>8320</c:v>
                </c:pt>
                <c:pt idx="119" c:formatCode="[$R-1C09]\ #,##0.00;[$R-1C09]\ \-#,##0.00">
                  <c:v>3770</c:v>
                </c:pt>
                <c:pt idx="120" c:formatCode="[$R-1C09]\ #,##0.00;[$R-1C09]\ \-#,##0.00">
                  <c:v>3700</c:v>
                </c:pt>
                <c:pt idx="121" c:formatCode="[$R-1C09]\ #,##0.00;[$R-1C09]\ \-#,##0.00">
                  <c:v>2520</c:v>
                </c:pt>
                <c:pt idx="122" c:formatCode="[$R-1C09]\ #,##0.00;[$R-1C09]\ \-#,##0.00">
                  <c:v>4205</c:v>
                </c:pt>
                <c:pt idx="123" c:formatCode="[$R-1C09]\ #,##0.00;[$R-1C09]\ \-#,##0.00">
                  <c:v>1295</c:v>
                </c:pt>
                <c:pt idx="124" c:formatCode="[$R-1C09]\ #,##0.00;[$R-1C09]\ \-#,##0.00">
                  <c:v>3780</c:v>
                </c:pt>
                <c:pt idx="125" c:formatCode="[$R-1C09]\ #,##0.00;[$R-1C09]\ \-#,##0.00">
                  <c:v>1508</c:v>
                </c:pt>
                <c:pt idx="126" c:formatCode="[$R-1C09]\ #,##0.00;[$R-1C09]\ \-#,##0.00">
                  <c:v>4410</c:v>
                </c:pt>
                <c:pt idx="127" c:formatCode="[$R-1C09]\ #,##0.00;[$R-1C09]\ \-#,##0.00">
                  <c:v>3500</c:v>
                </c:pt>
                <c:pt idx="128" c:formatCode="[$R-1C09]\ #,##0.00;[$R-1C09]\ \-#,##0.00">
                  <c:v>1300</c:v>
                </c:pt>
                <c:pt idx="129" c:formatCode="[$R-1C09]\ #,##0.00;[$R-1C09]\ \-#,##0.00">
                  <c:v>2590</c:v>
                </c:pt>
                <c:pt idx="130" c:formatCode="[$R-1C09]\ #,##0.00;[$R-1C09]\ \-#,##0.00">
                  <c:v>8555</c:v>
                </c:pt>
                <c:pt idx="131" c:formatCode="[$R-1C09]\ #,##0.00;[$R-1C09]\ \-#,##0.00">
                  <c:v>2590</c:v>
                </c:pt>
                <c:pt idx="132" c:formatCode="[$R-1C09]\ #,##0.00;[$R-1C09]\ \-#,##0.00">
                  <c:v>4640</c:v>
                </c:pt>
                <c:pt idx="133" c:formatCode="[$R-1C09]\ #,##0.00;[$R-1C09]\ \-#,##0.00">
                  <c:v>2960</c:v>
                </c:pt>
                <c:pt idx="134" c:formatCode="[$R-1C09]\ #,##0.00;[$R-1C09]\ \-#,##0.00">
                  <c:v>18200</c:v>
                </c:pt>
                <c:pt idx="135" c:formatCode="[$R-1C09]\ #,##0.00;[$R-1C09]\ \-#,##0.00">
                  <c:v>4550</c:v>
                </c:pt>
                <c:pt idx="136" c:formatCode="[$R-1C09]\ #,##0.00;[$R-1C09]\ \-#,##0.00">
                  <c:v>3850</c:v>
                </c:pt>
                <c:pt idx="137" c:formatCode="[$R-1C09]\ #,##0.00;[$R-1C09]\ \-#,##0.00">
                  <c:v>728</c:v>
                </c:pt>
                <c:pt idx="138" c:formatCode="[$R-1C09]\ #,##0.00;[$R-1C09]\ \-#,##0.00">
                  <c:v>1850</c:v>
                </c:pt>
                <c:pt idx="139" c:formatCode="[$R-1C09]\ #,##0.00;[$R-1C09]\ \-#,##0.00">
                  <c:v>208</c:v>
                </c:pt>
                <c:pt idx="140" c:formatCode="[$R-1C09]\ #,##0.00;[$R-1C09]\ \-#,##0.00">
                  <c:v>5550</c:v>
                </c:pt>
                <c:pt idx="141" c:formatCode="[$R-1C09]\ #,##0.00;[$R-1C09]\ \-#,##0.00">
                  <c:v>1378</c:v>
                </c:pt>
                <c:pt idx="142" c:formatCode="[$R-1C09]\ #,##0.00;[$R-1C09]\ \-#,##0.00">
                  <c:v>390</c:v>
                </c:pt>
                <c:pt idx="143" c:formatCode="[$R-1C09]\ #,##0.00;[$R-1C09]\ \-#,##0.00">
                  <c:v>12425</c:v>
                </c:pt>
                <c:pt idx="144" c:formatCode="[$R-1C09]\ #,##0.00;[$R-1C09]\ \-#,##0.00">
                  <c:v>350</c:v>
                </c:pt>
                <c:pt idx="145" c:formatCode="[$R-1C09]\ #,##0.00;[$R-1C09]\ \-#,##0.00">
                  <c:v>78</c:v>
                </c:pt>
                <c:pt idx="146" c:formatCode="[$R-1C09]\ #,##0.00;[$R-1C09]\ \-#,##0.00">
                  <c:v>2600</c:v>
                </c:pt>
                <c:pt idx="147" c:formatCode="[$R-1C09]\ #,##0.00;[$R-1C09]\ \-#,##0.00">
                  <c:v>1400</c:v>
                </c:pt>
                <c:pt idx="148" c:formatCode="[$R-1C09]\ #,##0.00;[$R-1C09]\ \-#,##0.00">
                  <c:v>4495</c:v>
                </c:pt>
                <c:pt idx="149" c:formatCode="[$R-1C09]\ #,##0.00;[$R-1C09]\ \-#,##0.00">
                  <c:v>208</c:v>
                </c:pt>
                <c:pt idx="150" c:formatCode="[$R-1C09]\ #,##0.00;[$R-1C09]\ \-#,##0.00">
                  <c:v>2600</c:v>
                </c:pt>
                <c:pt idx="151" c:formatCode="[$R-1C09]\ #,##0.00;[$R-1C09]\ \-#,##0.00">
                  <c:v>7140</c:v>
                </c:pt>
                <c:pt idx="152" c:formatCode="[$R-1C09]\ #,##0.00;[$R-1C09]\ \-#,##0.00">
                  <c:v>390</c:v>
                </c:pt>
                <c:pt idx="153" c:formatCode="[$R-1C09]\ #,##0.00;[$R-1C09]\ \-#,##0.00">
                  <c:v>208</c:v>
                </c:pt>
                <c:pt idx="154" c:formatCode="[$R-1C09]\ #,##0.00;[$R-1C09]\ \-#,##0.00">
                  <c:v>1820</c:v>
                </c:pt>
                <c:pt idx="155" c:formatCode="[$R-1C09]\ #,##0.00;[$R-1C09]\ \-#,##0.00">
                  <c:v>875</c:v>
                </c:pt>
                <c:pt idx="156" c:formatCode="[$R-1C09]\ #,##0.00;[$R-1C09]\ \-#,##0.00">
                  <c:v>130</c:v>
                </c:pt>
                <c:pt idx="157" c:formatCode="[$R-1C09]\ #,##0.00;[$R-1C09]\ \-#,##0.00">
                  <c:v>5920</c:v>
                </c:pt>
                <c:pt idx="158" c:formatCode="[$R-1C09]\ #,##0.00;[$R-1C09]\ \-#,##0.00">
                  <c:v>2800</c:v>
                </c:pt>
                <c:pt idx="159" c:formatCode="[$R-1C09]\ #,##0.00;[$R-1C09]\ \-#,##0.00">
                  <c:v>3380</c:v>
                </c:pt>
                <c:pt idx="160" c:formatCode="[$R-1C09]\ #,##0.00;[$R-1C09]\ \-#,##0.00">
                  <c:v>13300</c:v>
                </c:pt>
                <c:pt idx="161" c:formatCode="[$R-1C09]\ #,##0.00;[$R-1C09]\ \-#,##0.00">
                  <c:v>4830</c:v>
                </c:pt>
                <c:pt idx="162" c:formatCode="[$R-1C09]\ #,##0.00;[$R-1C09]\ \-#,##0.00">
                  <c:v>2860</c:v>
                </c:pt>
                <c:pt idx="163" c:formatCode="[$R-1C09]\ #,##0.00;[$R-1C09]\ \-#,##0.00">
                  <c:v>6300</c:v>
                </c:pt>
                <c:pt idx="164" c:formatCode="[$R-1C09]\ #,##0.00;[$R-1C09]\ \-#,##0.00">
                  <c:v>7350</c:v>
                </c:pt>
                <c:pt idx="165" c:formatCode="[$R-1C09]\ #,##0.00;[$R-1C09]\ \-#,##0.00">
                  <c:v>3885</c:v>
                </c:pt>
                <c:pt idx="166" c:formatCode="[$R-1C09]\ #,##0.00;[$R-1C09]\ \-#,##0.00">
                  <c:v>754</c:v>
                </c:pt>
                <c:pt idx="167" c:formatCode="[$R-1C09]\ #,##0.00;[$R-1C09]\ \-#,##0.00">
                  <c:v>7020</c:v>
                </c:pt>
                <c:pt idx="168" c:formatCode="[$R-1C09]\ #,##0.00;[$R-1C09]\ \-#,##0.00">
                  <c:v>5075</c:v>
                </c:pt>
                <c:pt idx="169" c:formatCode="[$R-1C09]\ #,##0.00;[$R-1C09]\ \-#,##0.00">
                  <c:v>5735</c:v>
                </c:pt>
                <c:pt idx="170" c:formatCode="[$R-1C09]\ #,##0.00;[$R-1C09]\ \-#,##0.00">
                  <c:v>4725</c:v>
                </c:pt>
                <c:pt idx="171" c:formatCode="[$R-1C09]\ #,##0.00;[$R-1C09]\ \-#,##0.00">
                  <c:v>8840</c:v>
                </c:pt>
                <c:pt idx="172" c:formatCode="[$R-1C09]\ #,##0.00;[$R-1C09]\ \-#,##0.00">
                  <c:v>1480</c:v>
                </c:pt>
                <c:pt idx="173" c:formatCode="[$R-1C09]\ #,##0.00;[$R-1C09]\ \-#,##0.00">
                  <c:v>6105</c:v>
                </c:pt>
                <c:pt idx="174" c:formatCode="[$R-1C09]\ #,##0.00;[$R-1C09]\ \-#,##0.00">
                  <c:v>3190</c:v>
                </c:pt>
                <c:pt idx="175" c:formatCode="[$R-1C09]\ #,##0.00;[$R-1C09]\ \-#,##0.00">
                  <c:v>875</c:v>
                </c:pt>
                <c:pt idx="176" c:formatCode="[$R-1C09]\ #,##0.00;[$R-1C09]\ \-#,##0.00">
                  <c:v>870</c:v>
                </c:pt>
                <c:pt idx="177" c:formatCode="[$R-1C09]\ #,##0.00;[$R-1C09]\ \-#,##0.00">
                  <c:v>2940</c:v>
                </c:pt>
                <c:pt idx="178" c:formatCode="[$R-1C09]\ #,##0.00;[$R-1C09]\ \-#,##0.00">
                  <c:v>182</c:v>
                </c:pt>
                <c:pt idx="179" c:formatCode="[$R-1C09]\ #,##0.00;[$R-1C09]\ \-#,##0.00">
                  <c:v>6125</c:v>
                </c:pt>
                <c:pt idx="180" c:formatCode="[$R-1C09]\ #,##0.00;[$R-1C09]\ \-#,##0.00">
                  <c:v>130</c:v>
                </c:pt>
                <c:pt idx="181" c:formatCode="[$R-1C09]\ #,##0.00;[$R-1C09]\ \-#,##0.00">
                  <c:v>2610</c:v>
                </c:pt>
                <c:pt idx="182" c:formatCode="[$R-1C09]\ #,##0.00;[$R-1C09]\ \-#,##0.00">
                  <c:v>3045</c:v>
                </c:pt>
                <c:pt idx="183" c:formatCode="[$R-1C09]\ #,##0.00;[$R-1C09]\ \-#,##0.00">
                  <c:v>3770</c:v>
                </c:pt>
                <c:pt idx="184" c:formatCode="[$R-1C09]\ #,##0.00;[$R-1C09]\ \-#,##0.00">
                  <c:v>7540</c:v>
                </c:pt>
                <c:pt idx="185" c:formatCode="[$R-1C09]\ #,##0.00;[$R-1C09]\ \-#,##0.00">
                  <c:v>2940</c:v>
                </c:pt>
                <c:pt idx="186" c:formatCode="[$R-1C09]\ #,##0.00;[$R-1C09]\ \-#,##0.00">
                  <c:v>9975</c:v>
                </c:pt>
                <c:pt idx="187" c:formatCode="[$R-1C09]\ #,##0.00;[$R-1C09]\ \-#,##0.00">
                  <c:v>312</c:v>
                </c:pt>
                <c:pt idx="188" c:formatCode="[$R-1C09]\ #,##0.00;[$R-1C09]\ \-#,##0.00">
                  <c:v>3500</c:v>
                </c:pt>
                <c:pt idx="189" c:formatCode="[$R-1C09]\ #,##0.00;[$R-1C09]\ \-#,##0.00">
                  <c:v>4625</c:v>
                </c:pt>
                <c:pt idx="190" c:formatCode="[$R-1C09]\ #,##0.00;[$R-1C09]\ \-#,##0.00">
                  <c:v>6125</c:v>
                </c:pt>
                <c:pt idx="191" c:formatCode="[$R-1C09]\ #,##0.00;[$R-1C09]\ \-#,##0.00">
                  <c:v>8320</c:v>
                </c:pt>
                <c:pt idx="192" c:formatCode="[$R-1C09]\ #,##0.00;[$R-1C09]\ \-#,##0.00">
                  <c:v>1015</c:v>
                </c:pt>
                <c:pt idx="193" c:formatCode="[$R-1C09]\ #,##0.00;[$R-1C09]\ \-#,##0.00">
                  <c:v>4160</c:v>
                </c:pt>
                <c:pt idx="194" c:formatCode="[$R-1C09]\ #,##0.00;[$R-1C09]\ \-#,##0.00">
                  <c:v>4810</c:v>
                </c:pt>
                <c:pt idx="195" c:formatCode="[$R-1C09]\ #,##0.00;[$R-1C09]\ \-#,##0.00">
                  <c:v>12210</c:v>
                </c:pt>
                <c:pt idx="196" c:formatCode="[$R-1C09]\ #,##0.00;[$R-1C09]\ \-#,##0.00">
                  <c:v>12740</c:v>
                </c:pt>
                <c:pt idx="197" c:formatCode="[$R-1C09]\ #,##0.00;[$R-1C09]\ \-#,##0.00">
                  <c:v>1300</c:v>
                </c:pt>
                <c:pt idx="198" c:formatCode="[$R-1C09]\ #,##0.00;[$R-1C09]\ \-#,##0.00">
                  <c:v>525</c:v>
                </c:pt>
                <c:pt idx="199" c:formatCode="[$R-1C09]\ #,##0.00;[$R-1C09]\ \-#,##0.00">
                  <c:v>4200</c:v>
                </c:pt>
                <c:pt idx="200" c:formatCode="[$R-1C09]\ #,##0.00;[$R-1C09]\ \-#,##0.00">
                  <c:v>9100</c:v>
                </c:pt>
                <c:pt idx="201" c:formatCode="[$R-1C09]\ #,##0.00;[$R-1C09]\ \-#,##0.00">
                  <c:v>2610</c:v>
                </c:pt>
                <c:pt idx="202" c:formatCode="[$R-1C09]\ #,##0.00;[$R-1C09]\ \-#,##0.00">
                  <c:v>4025</c:v>
                </c:pt>
                <c:pt idx="203" c:formatCode="[$R-1C09]\ #,##0.00;[$R-1C09]\ \-#,##0.00">
                  <c:v>832</c:v>
                </c:pt>
                <c:pt idx="204" c:formatCode="[$R-1C09]\ #,##0.00;[$R-1C09]\ \-#,##0.00">
                  <c:v>6960</c:v>
                </c:pt>
                <c:pt idx="205" c:formatCode="[$R-1C09]\ #,##0.00;[$R-1C09]\ \-#,##0.00">
                  <c:v>16170</c:v>
                </c:pt>
                <c:pt idx="206" c:formatCode="[$R-1C09]\ #,##0.00;[$R-1C09]\ \-#,##0.00">
                  <c:v>1305</c:v>
                </c:pt>
                <c:pt idx="207" c:formatCode="[$R-1C09]\ #,##0.00;[$R-1C09]\ \-#,##0.00">
                  <c:v>1885</c:v>
                </c:pt>
                <c:pt idx="208" c:formatCode="[$R-1C09]\ #,##0.00;[$R-1C09]\ \-#,##0.00">
                  <c:v>1924</c:v>
                </c:pt>
                <c:pt idx="209" c:formatCode="[$R-1C09]\ #,##0.00;[$R-1C09]\ \-#,##0.00">
                  <c:v>4350</c:v>
                </c:pt>
                <c:pt idx="210" c:formatCode="[$R-1C09]\ #,##0.00;[$R-1C09]\ \-#,##0.00">
                  <c:v>624</c:v>
                </c:pt>
                <c:pt idx="211" c:formatCode="[$R-1C09]\ #,##0.00;[$R-1C09]\ \-#,##0.00">
                  <c:v>7020</c:v>
                </c:pt>
                <c:pt idx="212" c:formatCode="[$R-1C09]\ #,##0.00;[$R-1C09]\ \-#,##0.00">
                  <c:v>1040</c:v>
                </c:pt>
                <c:pt idx="213" c:formatCode="[$R-1C09]\ #,##0.00;[$R-1C09]\ \-#,##0.00">
                  <c:v>1925</c:v>
                </c:pt>
                <c:pt idx="214" c:formatCode="[$R-1C09]\ #,##0.00;[$R-1C09]\ \-#,##0.00">
                  <c:v>4375</c:v>
                </c:pt>
                <c:pt idx="215" c:formatCode="[$R-1C09]\ #,##0.00;[$R-1C09]\ \-#,##0.00">
                  <c:v>7350</c:v>
                </c:pt>
                <c:pt idx="216" c:formatCode="[$R-1C09]\ #,##0.00;[$R-1C09]\ \-#,##0.00">
                  <c:v>3700</c:v>
                </c:pt>
                <c:pt idx="217" c:formatCode="[$R-1C09]\ #,##0.00;[$R-1C09]\ \-#,##0.00">
                  <c:v>5550</c:v>
                </c:pt>
                <c:pt idx="218" c:formatCode="[$R-1C09]\ #,##0.00;[$R-1C09]\ \-#,##0.00">
                  <c:v>3500</c:v>
                </c:pt>
                <c:pt idx="219" c:formatCode="[$R-1C09]\ #,##0.00;[$R-1C09]\ \-#,##0.00">
                  <c:v>1850</c:v>
                </c:pt>
                <c:pt idx="220" c:formatCode="[$R-1C09]\ #,##0.00;[$R-1C09]\ \-#,##0.00">
                  <c:v>1750</c:v>
                </c:pt>
                <c:pt idx="221" c:formatCode="[$R-1C09]\ #,##0.00;[$R-1C09]\ \-#,##0.00">
                  <c:v>4900</c:v>
                </c:pt>
                <c:pt idx="222" c:formatCode="[$R-1C09]\ #,##0.00;[$R-1C09]\ \-#,##0.00">
                  <c:v>6510</c:v>
                </c:pt>
                <c:pt idx="223" c:formatCode="[$R-1C09]\ #,##0.00;[$R-1C09]\ \-#,##0.00">
                  <c:v>1850</c:v>
                </c:pt>
                <c:pt idx="224" c:formatCode="[$R-1C09]\ #,##0.00;[$R-1C09]\ \-#,##0.00">
                  <c:v>2320</c:v>
                </c:pt>
                <c:pt idx="225" c:formatCode="[$R-1C09]\ #,##0.00;[$R-1C09]\ \-#,##0.00">
                  <c:v>1450</c:v>
                </c:pt>
                <c:pt idx="226" c:formatCode="[$R-1C09]\ #,##0.00;[$R-1C09]\ \-#,##0.00">
                  <c:v>2220</c:v>
                </c:pt>
                <c:pt idx="227" c:formatCode="[$R-1C09]\ #,##0.00;[$R-1C09]\ \-#,##0.00">
                  <c:v>1040</c:v>
                </c:pt>
                <c:pt idx="228" c:formatCode="[$R-1C09]\ #,##0.00;[$R-1C09]\ \-#,##0.00">
                  <c:v>525</c:v>
                </c:pt>
                <c:pt idx="229" c:formatCode="[$R-1C09]\ #,##0.00;[$R-1C09]\ \-#,##0.00">
                  <c:v>702</c:v>
                </c:pt>
                <c:pt idx="230" c:formatCode="[$R-1C09]\ #,##0.00;[$R-1C09]\ \-#,##0.00">
                  <c:v>4255</c:v>
                </c:pt>
                <c:pt idx="231" c:formatCode="[$R-1C09]\ #,##0.00;[$R-1C09]\ \-#,##0.00">
                  <c:v>4625</c:v>
                </c:pt>
                <c:pt idx="232" c:formatCode="[$R-1C09]\ #,##0.00;[$R-1C09]\ \-#,##0.00">
                  <c:v>2035</c:v>
                </c:pt>
                <c:pt idx="233" c:formatCode="[$R-1C09]\ #,##0.00;[$R-1C09]\ \-#,##0.00">
                  <c:v>3190</c:v>
                </c:pt>
                <c:pt idx="234" c:formatCode="[$R-1C09]\ #,##0.00;[$R-1C09]\ \-#,##0.00">
                  <c:v>630</c:v>
                </c:pt>
                <c:pt idx="235" c:formatCode="[$R-1C09]\ #,##0.00;[$R-1C09]\ \-#,##0.00">
                  <c:v>1300</c:v>
                </c:pt>
                <c:pt idx="236" c:formatCode="[$R-1C09]\ #,##0.00;[$R-1C09]\ \-#,##0.00">
                  <c:v>2100</c:v>
                </c:pt>
                <c:pt idx="237" c:formatCode="[$R-1C09]\ #,##0.00;[$R-1C09]\ \-#,##0.00">
                  <c:v>2450</c:v>
                </c:pt>
                <c:pt idx="238" c:formatCode="[$R-1C09]\ #,##0.00;[$R-1C09]\ \-#,##0.00">
                  <c:v>1305</c:v>
                </c:pt>
                <c:pt idx="239" c:formatCode="[$R-1C09]\ #,##0.00;[$R-1C09]\ \-#,##0.00">
                  <c:v>1595</c:v>
                </c:pt>
                <c:pt idx="240" c:formatCode="[$R-1C09]\ #,##0.00;[$R-1C09]\ \-#,##0.00">
                  <c:v>598</c:v>
                </c:pt>
                <c:pt idx="241" c:formatCode="[$R-1C09]\ #,##0.00;[$R-1C09]\ \-#,##0.00">
                  <c:v>3190</c:v>
                </c:pt>
                <c:pt idx="242" c:formatCode="[$R-1C09]\ #,##0.00;[$R-1C09]\ \-#,##0.00">
                  <c:v>5775</c:v>
                </c:pt>
                <c:pt idx="243" c:formatCode="[$R-1C09]\ #,##0.00;[$R-1C09]\ \-#,##0.00">
                  <c:v>4410</c:v>
                </c:pt>
                <c:pt idx="244" c:formatCode="[$R-1C09]\ #,##0.00;[$R-1C09]\ \-#,##0.00">
                  <c:v>2800</c:v>
                </c:pt>
                <c:pt idx="245" c:formatCode="[$R-1C09]\ #,##0.00;[$R-1C09]\ \-#,##0.00">
                  <c:v>2310</c:v>
                </c:pt>
                <c:pt idx="246" c:formatCode="[$R-1C09]\ #,##0.00;[$R-1C09]\ \-#,##0.00">
                  <c:v>7800</c:v>
                </c:pt>
                <c:pt idx="247" c:formatCode="[$R-1C09]\ #,##0.00;[$R-1C09]\ \-#,##0.00">
                  <c:v>1050</c:v>
                </c:pt>
                <c:pt idx="248" c:formatCode="[$R-1C09]\ #,##0.00;[$R-1C09]\ \-#,##0.00">
                  <c:v>4550</c:v>
                </c:pt>
                <c:pt idx="249" c:formatCode="[$R-1C09]\ #,##0.00;[$R-1C09]\ \-#,##0.00">
                  <c:v>468</c:v>
                </c:pt>
                <c:pt idx="250" c:formatCode="[$R-1C09]\ #,##0.00;[$R-1C09]\ \-#,##0.00">
                  <c:v>2175</c:v>
                </c:pt>
                <c:pt idx="251" c:formatCode="[$R-1C09]\ #,##0.00;[$R-1C09]\ \-#,##0.00">
                  <c:v>1305</c:v>
                </c:pt>
                <c:pt idx="252" c:formatCode="[$R-1C09]\ #,##0.00;[$R-1C09]\ \-#,##0.00">
                  <c:v>7585</c:v>
                </c:pt>
                <c:pt idx="253" c:formatCode="[$R-1C09]\ #,##0.00;[$R-1C09]\ \-#,##0.00">
                  <c:v>3515</c:v>
                </c:pt>
                <c:pt idx="254" c:formatCode="[$R-1C09]\ #,##0.00;[$R-1C09]\ \-#,##0.00">
                  <c:v>12765</c:v>
                </c:pt>
                <c:pt idx="255" c:formatCode="[$R-1C09]\ #,##0.00;[$R-1C09]\ \-#,##0.00">
                  <c:v>18460</c:v>
                </c:pt>
                <c:pt idx="256" c:formatCode="[$R-1C09]\ #,##0.00;[$R-1C09]\ \-#,##0.00">
                  <c:v>2940</c:v>
                </c:pt>
                <c:pt idx="257" c:formatCode="[$R-1C09]\ #,##0.00;[$R-1C09]\ \-#,##0.00">
                  <c:v>416</c:v>
                </c:pt>
                <c:pt idx="258" c:formatCode="[$R-1C09]\ #,##0.00;[$R-1C09]\ \-#,##0.00">
                  <c:v>6930</c:v>
                </c:pt>
                <c:pt idx="259" c:formatCode="[$R-1C09]\ #,##0.00;[$R-1C09]\ \-#,##0.00">
                  <c:v>2900</c:v>
                </c:pt>
                <c:pt idx="260" c:formatCode="[$R-1C09]\ #,##0.00;[$R-1C09]\ \-#,##0.00">
                  <c:v>3990</c:v>
                </c:pt>
                <c:pt idx="261" c:formatCode="[$R-1C09]\ #,##0.00;[$R-1C09]\ \-#,##0.00">
                  <c:v>1482</c:v>
                </c:pt>
                <c:pt idx="262" c:formatCode="[$R-1C09]\ #,##0.00;[$R-1C09]\ \-#,##0.00">
                  <c:v>7140</c:v>
                </c:pt>
                <c:pt idx="263" c:formatCode="[$R-1C09]\ #,##0.00;[$R-1C09]\ \-#,##0.00">
                  <c:v>370</c:v>
                </c:pt>
                <c:pt idx="264" c:formatCode="[$R-1C09]\ #,##0.00;[$R-1C09]\ \-#,##0.00">
                  <c:v>350</c:v>
                </c:pt>
                <c:pt idx="265" c:formatCode="[$R-1C09]\ #,##0.00;[$R-1C09]\ \-#,##0.00">
                  <c:v>4995</c:v>
                </c:pt>
                <c:pt idx="266" c:formatCode="[$R-1C09]\ #,##0.00;[$R-1C09]\ \-#,##0.00">
                  <c:v>2320</c:v>
                </c:pt>
                <c:pt idx="267" c:formatCode="[$R-1C09]\ #,##0.00;[$R-1C09]\ \-#,##0.00">
                  <c:v>4060</c:v>
                </c:pt>
                <c:pt idx="268" c:formatCode="[$R-1C09]\ #,##0.00;[$R-1C09]\ \-#,##0.00">
                  <c:v>9100</c:v>
                </c:pt>
                <c:pt idx="269" c:formatCode="[$R-1C09]\ #,##0.00;[$R-1C09]\ \-#,##0.00">
                  <c:v>5950</c:v>
                </c:pt>
                <c:pt idx="270" c:formatCode="[$R-1C09]\ #,##0.00;[$R-1C09]\ \-#,##0.00">
                  <c:v>3900</c:v>
                </c:pt>
                <c:pt idx="271" c:formatCode="[$R-1C09]\ #,##0.00;[$R-1C09]\ \-#,##0.00">
                  <c:v>2100</c:v>
                </c:pt>
                <c:pt idx="272" c:formatCode="[$R-1C09]\ #,##0.00;[$R-1C09]\ \-#,##0.00">
                  <c:v>78</c:v>
                </c:pt>
                <c:pt idx="273" c:formatCode="[$R-1C09]\ #,##0.00;[$R-1C09]\ \-#,##0.00">
                  <c:v>156</c:v>
                </c:pt>
                <c:pt idx="274" c:formatCode="[$R-1C09]\ #,##0.00;[$R-1C09]\ \-#,##0.00">
                  <c:v>2730</c:v>
                </c:pt>
                <c:pt idx="275" c:formatCode="[$R-1C09]\ #,##0.00;[$R-1C09]\ \-#,##0.00">
                  <c:v>5460</c:v>
                </c:pt>
                <c:pt idx="276" c:formatCode="[$R-1C09]\ #,##0.00;[$R-1C09]\ \-#,##0.00">
                  <c:v>4725</c:v>
                </c:pt>
                <c:pt idx="277" c:formatCode="[$R-1C09]\ #,##0.00;[$R-1C09]\ \-#,##0.00">
                  <c:v>754</c:v>
                </c:pt>
                <c:pt idx="278" c:formatCode="[$R-1C09]\ #,##0.00;[$R-1C09]\ \-#,##0.00">
                  <c:v>2028</c:v>
                </c:pt>
                <c:pt idx="279" c:formatCode="[$R-1C09]\ #,##0.00;[$R-1C09]\ \-#,##0.00">
                  <c:v>7800</c:v>
                </c:pt>
                <c:pt idx="280" c:formatCode="[$R-1C09]\ #,##0.00;[$R-1C09]\ \-#,##0.00">
                  <c:v>2775</c:v>
                </c:pt>
                <c:pt idx="281" c:formatCode="[$R-1C09]\ #,##0.00;[$R-1C09]\ \-#,##0.00">
                  <c:v>3190</c:v>
                </c:pt>
                <c:pt idx="282" c:formatCode="[$R-1C09]\ #,##0.00;[$R-1C09]\ \-#,##0.00">
                  <c:v>2275</c:v>
                </c:pt>
                <c:pt idx="283" c:formatCode="[$R-1C09]\ #,##0.00;[$R-1C09]\ \-#,##0.00">
                  <c:v>3850</c:v>
                </c:pt>
                <c:pt idx="284" c:formatCode="[$R-1C09]\ #,##0.00;[$R-1C09]\ \-#,##0.00">
                  <c:v>3570</c:v>
                </c:pt>
                <c:pt idx="285" c:formatCode="[$R-1C09]\ #,##0.00;[$R-1C09]\ \-#,##0.00">
                  <c:v>5880</c:v>
                </c:pt>
                <c:pt idx="286" c:formatCode="[$R-1C09]\ #,##0.00;[$R-1C09]\ \-#,##0.00">
                  <c:v>5250</c:v>
                </c:pt>
                <c:pt idx="287" c:formatCode="[$R-1C09]\ #,##0.00;[$R-1C09]\ \-#,##0.00">
                  <c:v>1560</c:v>
                </c:pt>
                <c:pt idx="288" c:formatCode="[$R-1C09]\ #,##0.00;[$R-1C09]\ \-#,##0.00">
                  <c:v>290</c:v>
                </c:pt>
                <c:pt idx="289" c:formatCode="[$R-1C09]\ #,##0.00;[$R-1C09]\ \-#,##0.00">
                  <c:v>390</c:v>
                </c:pt>
                <c:pt idx="290" c:formatCode="[$R-1C09]\ #,##0.00;[$R-1C09]\ \-#,##0.00">
                  <c:v>624</c:v>
                </c:pt>
                <c:pt idx="291" c:formatCode="[$R-1C09]\ #,##0.00;[$R-1C09]\ \-#,##0.00">
                  <c:v>2175</c:v>
                </c:pt>
                <c:pt idx="292" c:formatCode="[$R-1C09]\ #,##0.00;[$R-1C09]\ \-#,##0.00">
                  <c:v>4680</c:v>
                </c:pt>
                <c:pt idx="293" c:formatCode="[$R-1C09]\ #,##0.00;[$R-1C09]\ \-#,##0.00">
                  <c:v>3570</c:v>
                </c:pt>
                <c:pt idx="294" c:formatCode="[$R-1C09]\ #,##0.00;[$R-1C09]\ \-#,##0.00">
                  <c:v>2520</c:v>
                </c:pt>
                <c:pt idx="295" c:formatCode="[$R-1C09]\ #,##0.00;[$R-1C09]\ \-#,##0.00">
                  <c:v>875</c:v>
                </c:pt>
                <c:pt idx="296" c:formatCode="[$R-1C09]\ #,##0.00;[$R-1C09]\ \-#,##0.00">
                  <c:v>17680</c:v>
                </c:pt>
                <c:pt idx="297" c:formatCode="[$R-1C09]\ #,##0.00;[$R-1C09]\ \-#,##0.00">
                  <c:v>14700</c:v>
                </c:pt>
                <c:pt idx="298" c:formatCode="[$R-1C09]\ #,##0.00;[$R-1C09]\ \-#,##0.00">
                  <c:v>14000</c:v>
                </c:pt>
                <c:pt idx="299" c:formatCode="[$R-1C09]\ #,##0.00;[$R-1C09]\ \-#,##0.00">
                  <c:v>9100</c:v>
                </c:pt>
                <c:pt idx="300" c:formatCode="[$R-1C09]\ #,##0.00;[$R-1C09]\ \-#,##0.00">
                  <c:v>6500</c:v>
                </c:pt>
                <c:pt idx="301" c:formatCode="[$R-1C09]\ #,##0.00;[$R-1C09]\ \-#,##0.00">
                  <c:v>104</c:v>
                </c:pt>
                <c:pt idx="302" c:formatCode="[$R-1C09]\ #,##0.00;[$R-1C09]\ \-#,##0.00">
                  <c:v>312</c:v>
                </c:pt>
                <c:pt idx="303" c:formatCode="[$R-1C09]\ #,##0.00;[$R-1C09]\ \-#,##0.00">
                  <c:v>700</c:v>
                </c:pt>
                <c:pt idx="304" c:formatCode="[$R-1C09]\ #,##0.00;[$R-1C09]\ \-#,##0.00">
                  <c:v>700</c:v>
                </c:pt>
                <c:pt idx="305" c:formatCode="[$R-1C09]\ #,##0.00;[$R-1C09]\ \-#,##0.00">
                  <c:v>5460</c:v>
                </c:pt>
                <c:pt idx="306" c:formatCode="[$R-1C09]\ #,##0.00;[$R-1C09]\ \-#,##0.00">
                  <c:v>260</c:v>
                </c:pt>
                <c:pt idx="307" c:formatCode="[$R-1C09]\ #,##0.00;[$R-1C09]\ \-#,##0.00">
                  <c:v>7540</c:v>
                </c:pt>
                <c:pt idx="308" c:formatCode="[$R-1C09]\ #,##0.00;[$R-1C09]\ \-#,##0.00">
                  <c:v>11130</c:v>
                </c:pt>
                <c:pt idx="309" c:formatCode="[$R-1C09]\ #,##0.00;[$R-1C09]\ \-#,##0.00">
                  <c:v>2730</c:v>
                </c:pt>
                <c:pt idx="310" c:formatCode="[$R-1C09]\ #,##0.00;[$R-1C09]\ \-#,##0.00">
                  <c:v>156</c:v>
                </c:pt>
                <c:pt idx="311" c:formatCode="[$R-1C09]\ #,##0.00;[$R-1C09]\ \-#,##0.00">
                  <c:v>3625</c:v>
                </c:pt>
                <c:pt idx="312" c:formatCode="[$R-1C09]\ #,##0.00;[$R-1C09]\ \-#,##0.00">
                  <c:v>1295</c:v>
                </c:pt>
                <c:pt idx="313" c:formatCode="[$R-1C09]\ #,##0.00;[$R-1C09]\ \-#,##0.00">
                  <c:v>5720</c:v>
                </c:pt>
                <c:pt idx="314" c:formatCode="[$R-1C09]\ #,##0.00;[$R-1C09]\ \-#,##0.00">
                  <c:v>6475</c:v>
                </c:pt>
                <c:pt idx="315" c:formatCode="[$R-1C09]\ #,##0.00;[$R-1C09]\ \-#,##0.00">
                  <c:v>1110</c:v>
                </c:pt>
                <c:pt idx="316" c:formatCode="[$R-1C09]\ #,##0.00;[$R-1C09]\ \-#,##0.00">
                  <c:v>2465</c:v>
                </c:pt>
                <c:pt idx="317" c:formatCode="[$R-1C09]\ #,##0.00;[$R-1C09]\ \-#,##0.00">
                  <c:v>4830</c:v>
                </c:pt>
                <c:pt idx="318" c:formatCode="[$R-1C09]\ #,##0.00;[$R-1C09]\ \-#,##0.00">
                  <c:v>3885</c:v>
                </c:pt>
                <c:pt idx="319" c:formatCode="[$R-1C09]\ #,##0.00;[$R-1C09]\ \-#,##0.00">
                  <c:v>2900</c:v>
                </c:pt>
                <c:pt idx="320" c:formatCode="[$R-1C09]\ #,##0.00;[$R-1C09]\ \-#,##0.00">
                  <c:v>3990</c:v>
                </c:pt>
                <c:pt idx="321" c:formatCode="[$R-1C09]\ #,##0.00;[$R-1C09]\ \-#,##0.00">
                  <c:v>2275</c:v>
                </c:pt>
                <c:pt idx="322" c:formatCode="[$R-1C09]\ #,##0.00;[$R-1C09]\ \-#,##0.00">
                  <c:v>4200</c:v>
                </c:pt>
                <c:pt idx="323" c:formatCode="[$R-1C09]\ #,##0.00;[$R-1C09]\ \-#,##0.00">
                  <c:v>3330</c:v>
                </c:pt>
                <c:pt idx="324" c:formatCode="[$R-1C09]\ #,##0.00;[$R-1C09]\ \-#,##0.00">
                  <c:v>5670</c:v>
                </c:pt>
                <c:pt idx="325" c:formatCode="[$R-1C09]\ #,##0.00;[$R-1C09]\ \-#,##0.00">
                  <c:v>182</c:v>
                </c:pt>
                <c:pt idx="326" c:formatCode="[$R-1C09]\ #,##0.00;[$R-1C09]\ \-#,##0.00">
                  <c:v>702</c:v>
                </c:pt>
                <c:pt idx="327" c:formatCode="[$R-1C09]\ #,##0.00;[$R-1C09]\ \-#,##0.00">
                  <c:v>6125</c:v>
                </c:pt>
                <c:pt idx="328" c:formatCode="[$R-1C09]\ #,##0.00;[$R-1C09]\ \-#,##0.00">
                  <c:v>884</c:v>
                </c:pt>
                <c:pt idx="329" c:formatCode="[$R-1C09]\ #,##0.00;[$R-1C09]\ \-#,##0.00">
                  <c:v>2860</c:v>
                </c:pt>
                <c:pt idx="330" c:formatCode="[$R-1C09]\ #,##0.00;[$R-1C09]\ \-#,##0.00">
                  <c:v>1680</c:v>
                </c:pt>
                <c:pt idx="331" c:formatCode="[$R-1C09]\ #,##0.00;[$R-1C09]\ \-#,##0.00">
                  <c:v>5980</c:v>
                </c:pt>
                <c:pt idx="332" c:formatCode="[$R-1C09]\ #,##0.00;[$R-1C09]\ \-#,##0.00">
                  <c:v>2220</c:v>
                </c:pt>
                <c:pt idx="333" c:formatCode="[$R-1C09]\ #,##0.00;[$R-1C09]\ \-#,##0.00">
                  <c:v>5365</c:v>
                </c:pt>
                <c:pt idx="334" c:formatCode="[$R-1C09]\ #,##0.00;[$R-1C09]\ \-#,##0.00">
                  <c:v>390</c:v>
                </c:pt>
                <c:pt idx="335" c:formatCode="[$R-1C09]\ #,##0.00;[$R-1C09]\ \-#,##0.00">
                  <c:v>4625</c:v>
                </c:pt>
                <c:pt idx="336" c:formatCode="[$R-1C09]\ #,##0.00;[$R-1C09]\ \-#,##0.00">
                  <c:v>572</c:v>
                </c:pt>
                <c:pt idx="337" c:formatCode="[$R-1C09]\ #,##0.00;[$R-1C09]\ \-#,##0.00">
                  <c:v>2275</c:v>
                </c:pt>
                <c:pt idx="338" c:formatCode="[$R-1C09]\ #,##0.00;[$R-1C09]\ \-#,##0.00">
                  <c:v>1305</c:v>
                </c:pt>
                <c:pt idx="339" c:formatCode="[$R-1C09]\ #,##0.00;[$R-1C09]\ \-#,##0.00">
                  <c:v>2100</c:v>
                </c:pt>
                <c:pt idx="340" c:formatCode="[$R-1C09]\ #,##0.00;[$R-1C09]\ \-#,##0.00">
                  <c:v>2100</c:v>
                </c:pt>
                <c:pt idx="341" c:formatCode="[$R-1C09]\ #,##0.00;[$R-1C09]\ \-#,##0.00">
                  <c:v>290</c:v>
                </c:pt>
                <c:pt idx="342" c:formatCode="[$R-1C09]\ #,##0.00;[$R-1C09]\ \-#,##0.00">
                  <c:v>6930</c:v>
                </c:pt>
                <c:pt idx="343" c:formatCode="[$R-1C09]\ #,##0.00;[$R-1C09]\ \-#,##0.00">
                  <c:v>580</c:v>
                </c:pt>
                <c:pt idx="344" c:formatCode="[$R-1C09]\ #,##0.00;[$R-1C09]\ \-#,##0.00">
                  <c:v>5950</c:v>
                </c:pt>
                <c:pt idx="345" c:formatCode="[$R-1C09]\ #,##0.00;[$R-1C09]\ \-#,##0.00">
                  <c:v>700</c:v>
                </c:pt>
                <c:pt idx="346" c:formatCode="[$R-1C09]\ #,##0.00;[$R-1C09]\ \-#,##0.00">
                  <c:v>580</c:v>
                </c:pt>
                <c:pt idx="347" c:formatCode="[$R-1C09]\ #,##0.00;[$R-1C09]\ \-#,##0.00">
                  <c:v>4440</c:v>
                </c:pt>
                <c:pt idx="348" c:formatCode="[$R-1C09]\ #,##0.00;[$R-1C09]\ \-#,##0.00">
                  <c:v>925</c:v>
                </c:pt>
                <c:pt idx="349" c:formatCode="[$R-1C09]\ #,##0.00;[$R-1C09]\ \-#,##0.00">
                  <c:v>2755</c:v>
                </c:pt>
                <c:pt idx="350" c:formatCode="[$R-1C09]\ #,##0.00;[$R-1C09]\ \-#,##0.00">
                  <c:v>4940</c:v>
                </c:pt>
                <c:pt idx="351" c:formatCode="[$R-1C09]\ #,##0.00;[$R-1C09]\ \-#,##0.00">
                  <c:v>702</c:v>
                </c:pt>
                <c:pt idx="352" c:formatCode="[$R-1C09]\ #,##0.00;[$R-1C09]\ \-#,##0.00">
                  <c:v>182</c:v>
                </c:pt>
                <c:pt idx="353" c:formatCode="[$R-1C09]\ #,##0.00;[$R-1C09]\ \-#,##0.00">
                  <c:v>1820</c:v>
                </c:pt>
                <c:pt idx="354" c:formatCode="[$R-1C09]\ #,##0.00;[$R-1C09]\ \-#,##0.00">
                  <c:v>5365</c:v>
                </c:pt>
                <c:pt idx="355" c:formatCode="[$R-1C09]\ #,##0.00;[$R-1C09]\ \-#,##0.00">
                  <c:v>1750</c:v>
                </c:pt>
                <c:pt idx="356" c:formatCode="[$R-1C09]\ #,##0.00;[$R-1C09]\ \-#,##0.00">
                  <c:v>11960</c:v>
                </c:pt>
                <c:pt idx="357" c:formatCode="[$R-1C09]\ #,##0.00;[$R-1C09]\ \-#,##0.00">
                  <c:v>260</c:v>
                </c:pt>
                <c:pt idx="358" c:formatCode="[$R-1C09]\ #,##0.00;[$R-1C09]\ \-#,##0.00">
                  <c:v>650</c:v>
                </c:pt>
                <c:pt idx="359" c:formatCode="[$R-1C09]\ #,##0.00;[$R-1C09]\ \-#,##0.00">
                  <c:v>1470</c:v>
                </c:pt>
                <c:pt idx="360" c:formatCode="[$R-1C09]\ #,##0.00;[$R-1C09]\ \-#,##0.00">
                  <c:v>14000</c:v>
                </c:pt>
                <c:pt idx="361" c:formatCode="[$R-1C09]\ #,##0.00;[$R-1C09]\ \-#,##0.00">
                  <c:v>1260</c:v>
                </c:pt>
                <c:pt idx="362" c:formatCode="[$R-1C09]\ #,##0.00;[$R-1C09]\ \-#,##0.00">
                  <c:v>4810</c:v>
                </c:pt>
                <c:pt idx="363" c:formatCode="[$R-1C09]\ #,##0.00;[$R-1C09]\ \-#,##0.00">
                  <c:v>312</c:v>
                </c:pt>
                <c:pt idx="364" c:formatCode="[$R-1C09]\ #,##0.00;[$R-1C09]\ \-#,##0.00">
                  <c:v>1295</c:v>
                </c:pt>
                <c:pt idx="365" c:formatCode="[$R-1C09]\ #,##0.00;[$R-1C09]\ \-#,##0.00">
                  <c:v>1450</c:v>
                </c:pt>
                <c:pt idx="366" c:formatCode="[$R-1C09]\ #,##0.00;[$R-1C09]\ \-#,##0.00">
                  <c:v>435</c:v>
                </c:pt>
                <c:pt idx="367" c:formatCode="[$R-1C09]\ #,##0.00;[$R-1C09]\ \-#,##0.00">
                  <c:v>702</c:v>
                </c:pt>
                <c:pt idx="368" c:formatCode="[$R-1C09]\ #,##0.00;[$R-1C09]\ \-#,##0.00">
                  <c:v>156</c:v>
                </c:pt>
                <c:pt idx="369" c:formatCode="[$R-1C09]\ #,##0.00;[$R-1C09]\ \-#,##0.00">
                  <c:v>5250</c:v>
                </c:pt>
                <c:pt idx="370" c:formatCode="[$R-1C09]\ #,##0.00;[$R-1C09]\ \-#,##0.00">
                  <c:v>8575</c:v>
                </c:pt>
                <c:pt idx="371" c:formatCode="[$R-1C09]\ #,##0.00;[$R-1C09]\ \-#,##0.00">
                  <c:v>884</c:v>
                </c:pt>
                <c:pt idx="372" c:formatCode="[$R-1C09]\ #,##0.00;[$R-1C09]\ \-#,##0.00">
                  <c:v>3515</c:v>
                </c:pt>
                <c:pt idx="373" c:formatCode="[$R-1C09]\ #,##0.00;[$R-1C09]\ \-#,##0.00">
                  <c:v>1260</c:v>
                </c:pt>
                <c:pt idx="374" c:formatCode="[$R-1C09]\ #,##0.00;[$R-1C09]\ \-#,##0.00">
                  <c:v>8060</c:v>
                </c:pt>
                <c:pt idx="375" c:formatCode="[$R-1C09]\ #,##0.00;[$R-1C09]\ \-#,##0.00">
                  <c:v>520</c:v>
                </c:pt>
                <c:pt idx="376" c:formatCode="[$R-1C09]\ #,##0.00;[$R-1C09]\ \-#,##0.00">
                  <c:v>3150</c:v>
                </c:pt>
                <c:pt idx="377" c:formatCode="[$R-1C09]\ #,##0.00;[$R-1C09]\ \-#,##0.00">
                  <c:v>4205</c:v>
                </c:pt>
                <c:pt idx="378" c:formatCode="[$R-1C09]\ #,##0.00;[$R-1C09]\ \-#,##0.00">
                  <c:v>6510</c:v>
                </c:pt>
                <c:pt idx="379" c:formatCode="[$R-1C09]\ #,##0.00;[$R-1C09]\ \-#,##0.00">
                  <c:v>1160</c:v>
                </c:pt>
                <c:pt idx="380" c:formatCode="[$R-1C09]\ #,##0.00;[$R-1C09]\ \-#,##0.00">
                  <c:v>15340</c:v>
                </c:pt>
                <c:pt idx="381" c:formatCode="[$R-1C09]\ #,##0.00;[$R-1C09]\ \-#,##0.00">
                  <c:v>4900</c:v>
                </c:pt>
                <c:pt idx="382" c:formatCode="[$R-1C09]\ #,##0.00;[$R-1C09]\ \-#,##0.00">
                  <c:v>4375</c:v>
                </c:pt>
                <c:pt idx="383" c:formatCode="[$R-1C09]\ #,##0.00;[$R-1C09]\ \-#,##0.00">
                  <c:v>1260</c:v>
                </c:pt>
                <c:pt idx="384" c:formatCode="[$R-1C09]\ #,##0.00;[$R-1C09]\ \-#,##0.00">
                  <c:v>2030</c:v>
                </c:pt>
                <c:pt idx="385" c:formatCode="[$R-1C09]\ #,##0.00;[$R-1C09]\ \-#,##0.00">
                  <c:v>3145</c:v>
                </c:pt>
                <c:pt idx="386" c:formatCode="[$R-1C09]\ #,##0.00;[$R-1C09]\ \-#,##0.00">
                  <c:v>290</c:v>
                </c:pt>
                <c:pt idx="387" c:formatCode="[$R-1C09]\ #,##0.00;[$R-1C09]\ \-#,##0.00">
                  <c:v>6930</c:v>
                </c:pt>
                <c:pt idx="388" c:formatCode="[$R-1C09]\ #,##0.00;[$R-1C09]\ \-#,##0.00">
                  <c:v>5250</c:v>
                </c:pt>
                <c:pt idx="389" c:formatCode="[$R-1C09]\ #,##0.00;[$R-1C09]\ \-#,##0.00">
                  <c:v>1300</c:v>
                </c:pt>
                <c:pt idx="390" c:formatCode="[$R-1C09]\ #,##0.00;[$R-1C09]\ \-#,##0.00">
                  <c:v>572</c:v>
                </c:pt>
                <c:pt idx="391" c:formatCode="[$R-1C09]\ #,##0.00;[$R-1C09]\ \-#,##0.00">
                  <c:v>2860</c:v>
                </c:pt>
                <c:pt idx="392" c:formatCode="[$R-1C09]\ #,##0.00;[$R-1C09]\ \-#,##0.00">
                  <c:v>5550</c:v>
                </c:pt>
                <c:pt idx="393" c:formatCode="[$R-1C09]\ #,##0.00;[$R-1C09]\ \-#,##0.00">
                  <c:v>104</c:v>
                </c:pt>
                <c:pt idx="394" c:formatCode="[$R-1C09]\ #,##0.00;[$R-1C09]\ \-#,##0.00">
                  <c:v>11550</c:v>
                </c:pt>
                <c:pt idx="395" c:formatCode="[$R-1C09]\ #,##0.00;[$R-1C09]\ \-#,##0.00">
                  <c:v>2975</c:v>
                </c:pt>
                <c:pt idx="396" c:formatCode="[$R-1C09]\ #,##0.00;[$R-1C09]\ \-#,##0.00">
                  <c:v>2590</c:v>
                </c:pt>
                <c:pt idx="397" c:formatCode="[$R-1C09]\ #,##0.00;[$R-1C09]\ \-#,##0.00">
                  <c:v>1560</c:v>
                </c:pt>
                <c:pt idx="398" c:formatCode="[$R-1C09]\ #,##0.00;[$R-1C09]\ \-#,##0.00">
                  <c:v>1040</c:v>
                </c:pt>
                <c:pt idx="399" c:formatCode="[$R-1C09]\ #,##0.00;[$R-1C09]\ \-#,##0.00">
                  <c:v>630</c:v>
                </c:pt>
                <c:pt idx="400" c:formatCode="[$R-1C09]\ #,##0.00;[$R-1C09]\ \-#,##0.00">
                  <c:v>4350</c:v>
                </c:pt>
                <c:pt idx="401" c:formatCode="[$R-1C09]\ #,##0.00;[$R-1C09]\ \-#,##0.00">
                  <c:v>1050</c:v>
                </c:pt>
                <c:pt idx="402" c:formatCode="[$R-1C09]\ #,##0.00;[$R-1C09]\ \-#,##0.00">
                  <c:v>555</c:v>
                </c:pt>
                <c:pt idx="403" c:formatCode="[$R-1C09]\ #,##0.00;[$R-1C09]\ \-#,##0.00">
                  <c:v>5950</c:v>
                </c:pt>
                <c:pt idx="404" c:formatCode="[$R-1C09]\ #,##0.00;[$R-1C09]\ \-#,##0.00">
                  <c:v>725</c:v>
                </c:pt>
                <c:pt idx="405" c:formatCode="[$R-1C09]\ #,##0.00;[$R-1C09]\ \-#,##0.00">
                  <c:v>4420</c:v>
                </c:pt>
                <c:pt idx="406" c:formatCode="[$R-1C09]\ #,##0.00;[$R-1C09]\ \-#,##0.00">
                  <c:v>5040</c:v>
                </c:pt>
                <c:pt idx="407" c:formatCode="[$R-1C09]\ #,##0.00;[$R-1C09]\ \-#,##0.00">
                  <c:v>525</c:v>
                </c:pt>
                <c:pt idx="408" c:formatCode="[$R-1C09]\ #,##0.00;[$R-1C09]\ \-#,##0.00">
                  <c:v>3675</c:v>
                </c:pt>
                <c:pt idx="409" c:formatCode="[$R-1C09]\ #,##0.00;[$R-1C09]\ \-#,##0.00">
                  <c:v>13125</c:v>
                </c:pt>
                <c:pt idx="410" c:formatCode="[$R-1C09]\ #,##0.00;[$R-1C09]\ \-#,##0.00">
                  <c:v>780</c:v>
                </c:pt>
                <c:pt idx="411" c:formatCode="[$R-1C09]\ #,##0.00;[$R-1C09]\ \-#,##0.00">
                  <c:v>6500</c:v>
                </c:pt>
                <c:pt idx="412" c:formatCode="[$R-1C09]\ #,##0.00;[$R-1C09]\ \-#,##0.00">
                  <c:v>2220</c:v>
                </c:pt>
                <c:pt idx="413" c:formatCode="[$R-1C09]\ #,##0.00;[$R-1C09]\ \-#,##0.00">
                  <c:v>624</c:v>
                </c:pt>
                <c:pt idx="414" c:formatCode="[$R-1C09]\ #,##0.00;[$R-1C09]\ \-#,##0.00">
                  <c:v>2405</c:v>
                </c:pt>
                <c:pt idx="415" c:formatCode="[$R-1C09]\ #,##0.00;[$R-1C09]\ \-#,##0.00">
                  <c:v>3380</c:v>
                </c:pt>
                <c:pt idx="416" c:formatCode="[$R-1C09]\ #,##0.00;[$R-1C09]\ \-#,##0.00">
                  <c:v>4255</c:v>
                </c:pt>
                <c:pt idx="417" c:formatCode="[$R-1C09]\ #,##0.00;[$R-1C09]\ \-#,##0.00">
                  <c:v>598</c:v>
                </c:pt>
                <c:pt idx="418" c:formatCode="[$R-1C09]\ #,##0.00;[$R-1C09]\ \-#,##0.00">
                  <c:v>16640</c:v>
                </c:pt>
                <c:pt idx="419" c:formatCode="[$R-1C09]\ #,##0.00;[$R-1C09]\ \-#,##0.00">
                  <c:v>3770</c:v>
                </c:pt>
                <c:pt idx="420" c:formatCode="[$R-1C09]\ #,##0.00;[$R-1C09]\ \-#,##0.00">
                  <c:v>435</c:v>
                </c:pt>
                <c:pt idx="421" c:formatCode="[$R-1C09]\ #,##0.00;[$R-1C09]\ \-#,##0.00">
                  <c:v>156</c:v>
                </c:pt>
                <c:pt idx="422" c:formatCode="[$R-1C09]\ #,##0.00;[$R-1C09]\ \-#,##0.00">
                  <c:v>78</c:v>
                </c:pt>
                <c:pt idx="423" c:formatCode="[$R-1C09]\ #,##0.00;[$R-1C09]\ \-#,##0.00">
                  <c:v>5980</c:v>
                </c:pt>
                <c:pt idx="424" c:formatCode="[$R-1C09]\ #,##0.00;[$R-1C09]\ \-#,##0.00">
                  <c:v>2900</c:v>
                </c:pt>
                <c:pt idx="425" c:formatCode="[$R-1C09]\ #,##0.00;[$R-1C09]\ \-#,##0.00">
                  <c:v>925</c:v>
                </c:pt>
                <c:pt idx="426" c:formatCode="[$R-1C09]\ #,##0.00;[$R-1C09]\ \-#,##0.00">
                  <c:v>2940</c:v>
                </c:pt>
                <c:pt idx="427" c:formatCode="[$R-1C09]\ #,##0.00;[$R-1C09]\ \-#,##0.00">
                  <c:v>5460</c:v>
                </c:pt>
                <c:pt idx="428" c:formatCode="[$R-1C09]\ #,##0.00;[$R-1C09]\ \-#,##0.00">
                  <c:v>2730</c:v>
                </c:pt>
                <c:pt idx="429" c:formatCode="[$R-1C09]\ #,##0.00;[$R-1C09]\ \-#,##0.00">
                  <c:v>3780</c:v>
                </c:pt>
                <c:pt idx="430" c:formatCode="[$R-1C09]\ #,##0.00;[$R-1C09]\ \-#,##0.00">
                  <c:v>6240</c:v>
                </c:pt>
                <c:pt idx="431" c:formatCode="[$R-1C09]\ #,##0.00;[$R-1C09]\ \-#,##0.00">
                  <c:v>6720</c:v>
                </c:pt>
                <c:pt idx="432" c:formatCode="[$R-1C09]\ #,##0.00;[$R-1C09]\ \-#,##0.00">
                  <c:v>6125</c:v>
                </c:pt>
                <c:pt idx="433" c:formatCode="[$R-1C09]\ #,##0.00;[$R-1C09]\ \-#,##0.00">
                  <c:v>2775</c:v>
                </c:pt>
                <c:pt idx="434" c:formatCode="[$R-1C09]\ #,##0.00;[$R-1C09]\ \-#,##0.00">
                  <c:v>2035</c:v>
                </c:pt>
                <c:pt idx="435" c:formatCode="[$R-1C09]\ #,##0.00;[$R-1C09]\ \-#,##0.00">
                  <c:v>6760</c:v>
                </c:pt>
                <c:pt idx="436" c:formatCode="[$R-1C09]\ #,##0.00;[$R-1C09]\ \-#,##0.00">
                  <c:v>910</c:v>
                </c:pt>
                <c:pt idx="437" c:formatCode="[$R-1C09]\ #,##0.00;[$R-1C09]\ \-#,##0.00">
                  <c:v>2080</c:v>
                </c:pt>
                <c:pt idx="438" c:formatCode="[$R-1C09]\ #,##0.00;[$R-1C09]\ \-#,##0.00">
                  <c:v>3770</c:v>
                </c:pt>
                <c:pt idx="439" c:formatCode="[$R-1C09]\ #,##0.00;[$R-1C09]\ \-#,##0.00">
                  <c:v>9975</c:v>
                </c:pt>
                <c:pt idx="440" c:formatCode="[$R-1C09]\ #,##0.00;[$R-1C09]\ \-#,##0.00">
                  <c:v>435</c:v>
                </c:pt>
                <c:pt idx="441" c:formatCode="[$R-1C09]\ #,##0.00;[$R-1C09]\ \-#,##0.00">
                  <c:v>1850</c:v>
                </c:pt>
                <c:pt idx="442" c:formatCode="[$R-1C09]\ #,##0.00;[$R-1C09]\ \-#,##0.00">
                  <c:v>5550</c:v>
                </c:pt>
                <c:pt idx="443" c:formatCode="[$R-1C09]\ #,##0.00;[$R-1C09]\ \-#,##0.00">
                  <c:v>11900</c:v>
                </c:pt>
                <c:pt idx="444" c:formatCode="[$R-1C09]\ #,##0.00;[$R-1C09]\ \-#,##0.00">
                  <c:v>3380</c:v>
                </c:pt>
                <c:pt idx="445" c:formatCode="[$R-1C09]\ #,##0.00;[$R-1C09]\ \-#,##0.00">
                  <c:v>364</c:v>
                </c:pt>
                <c:pt idx="446" c:formatCode="[$R-1C09]\ #,##0.00;[$R-1C09]\ \-#,##0.00">
                  <c:v>4625</c:v>
                </c:pt>
                <c:pt idx="447" c:formatCode="[$R-1C09]\ #,##0.00;[$R-1C09]\ \-#,##0.00">
                  <c:v>3480</c:v>
                </c:pt>
                <c:pt idx="448" c:formatCode="[$R-1C09]\ #,##0.00;[$R-1C09]\ \-#,##0.00">
                  <c:v>2625</c:v>
                </c:pt>
                <c:pt idx="449" c:formatCode="[$R-1C09]\ #,##0.00;[$R-1C09]\ \-#,##0.00">
                  <c:v>525</c:v>
                </c:pt>
                <c:pt idx="450" c:formatCode="[$R-1C09]\ #,##0.00;[$R-1C09]\ \-#,##0.00">
                  <c:v>350</c:v>
                </c:pt>
                <c:pt idx="451" c:formatCode="[$R-1C09]\ #,##0.00;[$R-1C09]\ \-#,##0.00">
                  <c:v>5460</c:v>
                </c:pt>
                <c:pt idx="452" c:formatCode="[$R-1C09]\ #,##0.00;[$R-1C09]\ \-#,##0.00">
                  <c:v>4725</c:v>
                </c:pt>
                <c:pt idx="453" c:formatCode="[$R-1C09]\ #,##0.00;[$R-1C09]\ \-#,##0.00">
                  <c:v>1160</c:v>
                </c:pt>
                <c:pt idx="454" c:formatCode="[$R-1C09]\ #,##0.00;[$R-1C09]\ \-#,##0.00">
                  <c:v>546</c:v>
                </c:pt>
                <c:pt idx="455" c:formatCode="[$R-1C09]\ #,##0.00;[$R-1C09]\ \-#,##0.00">
                  <c:v>4620</c:v>
                </c:pt>
                <c:pt idx="456" c:formatCode="[$R-1C09]\ #,##0.00;[$R-1C09]\ \-#,##0.00">
                  <c:v>5460</c:v>
                </c:pt>
                <c:pt idx="457" c:formatCode="[$R-1C09]\ #,##0.00;[$R-1C09]\ \-#,##0.00">
                  <c:v>832</c:v>
                </c:pt>
                <c:pt idx="458" c:formatCode="[$R-1C09]\ #,##0.00;[$R-1C09]\ \-#,##0.00">
                  <c:v>3700</c:v>
                </c:pt>
                <c:pt idx="459" c:formatCode="[$R-1C09]\ #,##0.00;[$R-1C09]\ \-#,##0.00">
                  <c:v>598</c:v>
                </c:pt>
                <c:pt idx="460" c:formatCode="[$R-1C09]\ #,##0.00;[$R-1C09]\ \-#,##0.00">
                  <c:v>3625</c:v>
                </c:pt>
                <c:pt idx="461" c:formatCode="[$R-1C09]\ #,##0.00;[$R-1C09]\ \-#,##0.00">
                  <c:v>1050</c:v>
                </c:pt>
                <c:pt idx="462" c:formatCode="[$R-1C09]\ #,##0.00;[$R-1C09]\ \-#,##0.00">
                  <c:v>1050</c:v>
                </c:pt>
                <c:pt idx="463" c:formatCode="[$R-1C09]\ #,##0.00;[$R-1C09]\ \-#,##0.00">
                  <c:v>2310</c:v>
                </c:pt>
                <c:pt idx="464" c:formatCode="[$R-1C09]\ #,##0.00;[$R-1C09]\ \-#,##0.00">
                  <c:v>7685</c:v>
                </c:pt>
                <c:pt idx="465" c:formatCode="[$R-1C09]\ #,##0.00;[$R-1C09]\ \-#,##0.00">
                  <c:v>5365</c:v>
                </c:pt>
                <c:pt idx="466" c:formatCode="[$R-1C09]\ #,##0.00;[$R-1C09]\ \-#,##0.00">
                  <c:v>2450</c:v>
                </c:pt>
                <c:pt idx="467" c:formatCode="[$R-1C09]\ #,##0.00;[$R-1C09]\ \-#,##0.00">
                  <c:v>52</c:v>
                </c:pt>
                <c:pt idx="468" c:formatCode="[$R-1C09]\ #,##0.00;[$R-1C09]\ \-#,##0.00">
                  <c:v>6760</c:v>
                </c:pt>
                <c:pt idx="469" c:formatCode="[$R-1C09]\ #,##0.00;[$R-1C09]\ \-#,##0.00">
                  <c:v>7350</c:v>
                </c:pt>
                <c:pt idx="470" c:formatCode="[$R-1C09]\ #,##0.00;[$R-1C09]\ \-#,##0.00">
                  <c:v>5040</c:v>
                </c:pt>
                <c:pt idx="471" c:formatCode="[$R-1C09]\ #,##0.00;[$R-1C09]\ \-#,##0.00">
                  <c:v>555</c:v>
                </c:pt>
                <c:pt idx="472" c:formatCode="[$R-1C09]\ #,##0.00;[$R-1C09]\ \-#,##0.00">
                  <c:v>3780</c:v>
                </c:pt>
                <c:pt idx="473" c:formatCode="[$R-1C09]\ #,##0.00;[$R-1C09]\ \-#,##0.00">
                  <c:v>1118</c:v>
                </c:pt>
                <c:pt idx="474" c:formatCode="[$R-1C09]\ #,##0.00;[$R-1C09]\ \-#,##0.00">
                  <c:v>286</c:v>
                </c:pt>
                <c:pt idx="475" c:formatCode="[$R-1C09]\ #,##0.00;[$R-1C09]\ \-#,##0.00">
                  <c:v>1450</c:v>
                </c:pt>
                <c:pt idx="476" c:formatCode="[$R-1C09]\ #,##0.00;[$R-1C09]\ \-#,##0.00">
                  <c:v>2590</c:v>
                </c:pt>
                <c:pt idx="477" c:formatCode="[$R-1C09]\ #,##0.00;[$R-1C09]\ \-#,##0.00">
                  <c:v>8580</c:v>
                </c:pt>
                <c:pt idx="478" c:formatCode="[$R-1C09]\ #,##0.00;[$R-1C09]\ \-#,##0.00">
                  <c:v>8580</c:v>
                </c:pt>
                <c:pt idx="479" c:formatCode="[$R-1C09]\ #,##0.00;[$R-1C09]\ \-#,##0.00">
                  <c:v>416</c:v>
                </c:pt>
                <c:pt idx="480" c:formatCode="[$R-1C09]\ #,##0.00;[$R-1C09]\ \-#,##0.00">
                  <c:v>5200</c:v>
                </c:pt>
                <c:pt idx="481" c:formatCode="[$R-1C09]\ #,##0.00;[$R-1C09]\ \-#,##0.00">
                  <c:v>2600</c:v>
                </c:pt>
                <c:pt idx="482" c:formatCode="[$R-1C09]\ #,##0.00;[$R-1C09]\ \-#,##0.00">
                  <c:v>1015</c:v>
                </c:pt>
                <c:pt idx="483" c:formatCode="[$R-1C09]\ #,##0.00;[$R-1C09]\ \-#,##0.00">
                  <c:v>3770</c:v>
                </c:pt>
                <c:pt idx="484" c:formatCode="[$R-1C09]\ #,##0.00;[$R-1C09]\ \-#,##0.00">
                  <c:v>925</c:v>
                </c:pt>
                <c:pt idx="485" c:formatCode="[$R-1C09]\ #,##0.00;[$R-1C09]\ \-#,##0.00">
                  <c:v>780</c:v>
                </c:pt>
                <c:pt idx="486" c:formatCode="[$R-1C09]\ #,##0.00;[$R-1C09]\ \-#,##0.00">
                  <c:v>6930</c:v>
                </c:pt>
                <c:pt idx="487" c:formatCode="[$R-1C09]\ #,##0.00;[$R-1C09]\ \-#,##0.00">
                  <c:v>9100</c:v>
                </c:pt>
                <c:pt idx="488" c:formatCode="[$R-1C09]\ #,##0.00;[$R-1C09]\ \-#,##0.00">
                  <c:v>6125</c:v>
                </c:pt>
                <c:pt idx="489" c:formatCode="[$R-1C09]\ #,##0.00;[$R-1C09]\ \-#,##0.00">
                  <c:v>3770</c:v>
                </c:pt>
                <c:pt idx="490" c:formatCode="[$R-1C09]\ #,##0.00;[$R-1C09]\ \-#,##0.00">
                  <c:v>6930</c:v>
                </c:pt>
                <c:pt idx="491" c:formatCode="[$R-1C09]\ #,##0.00;[$R-1C09]\ \-#,##0.00">
                  <c:v>8840</c:v>
                </c:pt>
                <c:pt idx="492" c:formatCode="[$R-1C09]\ #,##0.00;[$R-1C09]\ \-#,##0.00">
                  <c:v>6300</c:v>
                </c:pt>
                <c:pt idx="493" c:formatCode="[$R-1C09]\ #,##0.00;[$R-1C09]\ \-#,##0.00">
                  <c:v>7020</c:v>
                </c:pt>
                <c:pt idx="494" c:formatCode="[$R-1C09]\ #,##0.00;[$R-1C09]\ \-#,##0.00">
                  <c:v>546</c:v>
                </c:pt>
                <c:pt idx="495" c:formatCode="[$R-1C09]\ #,##0.00;[$R-1C09]\ \-#,##0.00">
                  <c:v>725</c:v>
                </c:pt>
                <c:pt idx="496" c:formatCode="[$R-1C09]\ #,##0.00;[$R-1C09]\ \-#,##0.00">
                  <c:v>650</c:v>
                </c:pt>
                <c:pt idx="497" c:formatCode="[$R-1C09]\ #,##0.00;[$R-1C09]\ \-#,##0.00">
                  <c:v>2900</c:v>
                </c:pt>
                <c:pt idx="498" c:formatCode="[$R-1C09]\ #,##0.00;[$R-1C09]\ \-#,##0.00">
                  <c:v>728</c:v>
                </c:pt>
                <c:pt idx="499" c:formatCode="[$R-1C09]\ #,##0.00;[$R-1C09]\ \-#,##0.00">
                  <c:v>5735</c:v>
                </c:pt>
                <c:pt idx="500" c:formatCode="[$R-1C09]\ #,##0.00;[$R-1C09]\ \-#,##0.00">
                  <c:v>7800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55314991"/>
        <c:axId val="950966552"/>
      </c:barChart>
      <c:catAx>
        <c:axId val="45531499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altLang="en-US"/>
                  <a:t>REGION</a:t>
                </a:r>
                <a:endParaRPr lang="en-ZA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0966552"/>
        <c:crosses val="autoZero"/>
        <c:auto val="1"/>
        <c:lblAlgn val="ctr"/>
        <c:lblOffset val="100"/>
        <c:noMultiLvlLbl val="0"/>
      </c:catAx>
      <c:valAx>
        <c:axId val="95096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altLang="en-US"/>
                  <a:t>ORDER VALUE</a:t>
                </a:r>
                <a:endParaRPr lang="en-ZA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531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8a0f69-4d6c-41dd-ad6f-eb779a47737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</a:t>
            </a:r>
            <a:r>
              <a:rPr lang="en-ZA" altLang="en-US"/>
              <a:t>PRODUCT BY QUANTITY</a:t>
            </a:r>
            <a:endParaRPr lang="en-ZA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ORDER_DATA!$I$1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ORDER_DATA!$G$2:$G$502</c:f>
              <c:strCache>
                <c:ptCount val="501"/>
                <c:pt idx="0">
                  <c:v>Product</c:v>
                </c:pt>
                <c:pt idx="1">
                  <c:v>Soya 5kg</c:v>
                </c:pt>
                <c:pt idx="2">
                  <c:v>Maize Meal 10kg</c:v>
                </c:pt>
                <c:pt idx="3">
                  <c:v>Stock Cubes 30-pack</c:v>
                </c:pt>
                <c:pt idx="4">
                  <c:v>Stock Cubes 30-pack</c:v>
                </c:pt>
                <c:pt idx="5">
                  <c:v>Cooking Oil</c:v>
                </c:pt>
                <c:pt idx="6">
                  <c:v>Soya 5kg</c:v>
                </c:pt>
                <c:pt idx="7">
                  <c:v>Stock Cubes 30-pack</c:v>
                </c:pt>
                <c:pt idx="8">
                  <c:v>Stock Cubes 30-pack</c:v>
                </c:pt>
                <c:pt idx="9">
                  <c:v>Maize Meal 10kg</c:v>
                </c:pt>
                <c:pt idx="10">
                  <c:v>Rice 10kg</c:v>
                </c:pt>
                <c:pt idx="11">
                  <c:v>Beans 5kg</c:v>
                </c:pt>
                <c:pt idx="12">
                  <c:v>Rice 10kg</c:v>
                </c:pt>
                <c:pt idx="13">
                  <c:v>Cooking Oil</c:v>
                </c:pt>
                <c:pt idx="14">
                  <c:v>Rice 10kg</c:v>
                </c:pt>
                <c:pt idx="15">
                  <c:v>Maize Meal 10kg</c:v>
                </c:pt>
                <c:pt idx="16">
                  <c:v>Stock Cubes 30-pack</c:v>
                </c:pt>
                <c:pt idx="17">
                  <c:v>Maize Meal 10kg</c:v>
                </c:pt>
                <c:pt idx="18">
                  <c:v>Rice 10kg</c:v>
                </c:pt>
                <c:pt idx="19">
                  <c:v>Beans 5kg</c:v>
                </c:pt>
                <c:pt idx="20">
                  <c:v>Maize Meal 10kg</c:v>
                </c:pt>
                <c:pt idx="21">
                  <c:v>Rice 10kg</c:v>
                </c:pt>
                <c:pt idx="22">
                  <c:v>Rice 10kg</c:v>
                </c:pt>
                <c:pt idx="23">
                  <c:v>Rice 10kg</c:v>
                </c:pt>
                <c:pt idx="24">
                  <c:v>Rice 10kg</c:v>
                </c:pt>
                <c:pt idx="25">
                  <c:v>Rice 10kg</c:v>
                </c:pt>
                <c:pt idx="26">
                  <c:v>Stock Cubes 30-pack</c:v>
                </c:pt>
                <c:pt idx="27">
                  <c:v>Cooking Oil</c:v>
                </c:pt>
                <c:pt idx="28">
                  <c:v>Soya 5kg</c:v>
                </c:pt>
                <c:pt idx="29">
                  <c:v>Rice 10kg</c:v>
                </c:pt>
                <c:pt idx="30">
                  <c:v>Cooking Oil</c:v>
                </c:pt>
                <c:pt idx="31">
                  <c:v>Stock Cubes 30-pack</c:v>
                </c:pt>
                <c:pt idx="32">
                  <c:v>Soya 5kg</c:v>
                </c:pt>
                <c:pt idx="33">
                  <c:v>Soya 5kg</c:v>
                </c:pt>
                <c:pt idx="34">
                  <c:v>Maize Meal 10kg</c:v>
                </c:pt>
                <c:pt idx="35">
                  <c:v>Rice 10kg</c:v>
                </c:pt>
                <c:pt idx="36">
                  <c:v>Soya 5kg</c:v>
                </c:pt>
                <c:pt idx="37">
                  <c:v>Rice 10kg</c:v>
                </c:pt>
                <c:pt idx="38">
                  <c:v>Stock Cubes 30-pack</c:v>
                </c:pt>
                <c:pt idx="39">
                  <c:v>Rice 10kg</c:v>
                </c:pt>
                <c:pt idx="40">
                  <c:v>Rice 10kg</c:v>
                </c:pt>
                <c:pt idx="41">
                  <c:v>Soya 5kg</c:v>
                </c:pt>
                <c:pt idx="42">
                  <c:v>Maize Meal 10kg</c:v>
                </c:pt>
                <c:pt idx="43">
                  <c:v>Maize Meal 10kg</c:v>
                </c:pt>
                <c:pt idx="44">
                  <c:v>Beans 5kg</c:v>
                </c:pt>
                <c:pt idx="45">
                  <c:v>Maize Meal 10kg</c:v>
                </c:pt>
                <c:pt idx="46">
                  <c:v>Soya 5kg</c:v>
                </c:pt>
                <c:pt idx="47">
                  <c:v>Beans 5kg</c:v>
                </c:pt>
                <c:pt idx="48">
                  <c:v>Rice 10kg</c:v>
                </c:pt>
                <c:pt idx="49">
                  <c:v>Beans 5kg</c:v>
                </c:pt>
                <c:pt idx="50">
                  <c:v>Beans 5kg</c:v>
                </c:pt>
                <c:pt idx="51">
                  <c:v>Soya 5kg</c:v>
                </c:pt>
                <c:pt idx="52">
                  <c:v>Maize Meal 10kg</c:v>
                </c:pt>
                <c:pt idx="53">
                  <c:v>Stock Cubes 30-pack</c:v>
                </c:pt>
                <c:pt idx="54">
                  <c:v>Stock Cubes 30-pack</c:v>
                </c:pt>
                <c:pt idx="55">
                  <c:v>Rice 10kg</c:v>
                </c:pt>
                <c:pt idx="56">
                  <c:v>Soya 5kg</c:v>
                </c:pt>
                <c:pt idx="57">
                  <c:v>Maize Meal 10kg</c:v>
                </c:pt>
                <c:pt idx="58">
                  <c:v>Beans 5kg</c:v>
                </c:pt>
                <c:pt idx="59">
                  <c:v>Soya 5kg</c:v>
                </c:pt>
                <c:pt idx="60">
                  <c:v>Rice 10kg</c:v>
                </c:pt>
                <c:pt idx="61">
                  <c:v>Cooking Oil</c:v>
                </c:pt>
                <c:pt idx="62">
                  <c:v>Cooking Oil</c:v>
                </c:pt>
                <c:pt idx="63">
                  <c:v>Stock Cubes 30-pack</c:v>
                </c:pt>
                <c:pt idx="64">
                  <c:v>Cooking Oil</c:v>
                </c:pt>
                <c:pt idx="65">
                  <c:v>Beans 5kg</c:v>
                </c:pt>
                <c:pt idx="66">
                  <c:v>Rice 10kg</c:v>
                </c:pt>
                <c:pt idx="67">
                  <c:v>Beans 5kg</c:v>
                </c:pt>
                <c:pt idx="68">
                  <c:v>Maize Meal 10kg</c:v>
                </c:pt>
                <c:pt idx="69">
                  <c:v>Maize Meal 10kg</c:v>
                </c:pt>
                <c:pt idx="70">
                  <c:v>Stock Cubes 30-pack</c:v>
                </c:pt>
                <c:pt idx="71">
                  <c:v>Soya 5kg</c:v>
                </c:pt>
                <c:pt idx="72">
                  <c:v>Cooking Oil</c:v>
                </c:pt>
                <c:pt idx="73">
                  <c:v>Soya 5kg</c:v>
                </c:pt>
                <c:pt idx="74">
                  <c:v>Soya 5kg</c:v>
                </c:pt>
                <c:pt idx="75">
                  <c:v>Maize Meal 10kg</c:v>
                </c:pt>
                <c:pt idx="76">
                  <c:v>Rice 10kg</c:v>
                </c:pt>
                <c:pt idx="77">
                  <c:v>Cooking Oil</c:v>
                </c:pt>
                <c:pt idx="78">
                  <c:v>Soya 5kg</c:v>
                </c:pt>
                <c:pt idx="79">
                  <c:v>Cooking Oil</c:v>
                </c:pt>
                <c:pt idx="80">
                  <c:v>Stock Cubes 30-pack</c:v>
                </c:pt>
                <c:pt idx="81">
                  <c:v>Beans 5kg</c:v>
                </c:pt>
                <c:pt idx="82">
                  <c:v>Maize Meal 10kg</c:v>
                </c:pt>
                <c:pt idx="83">
                  <c:v>Beans 5kg</c:v>
                </c:pt>
                <c:pt idx="84">
                  <c:v>Soya 5kg</c:v>
                </c:pt>
                <c:pt idx="85">
                  <c:v>Cooking Oil</c:v>
                </c:pt>
                <c:pt idx="86">
                  <c:v>Beans 5kg</c:v>
                </c:pt>
                <c:pt idx="87">
                  <c:v>Stock Cubes 30-pack</c:v>
                </c:pt>
                <c:pt idx="88">
                  <c:v>Stock Cubes 30-pack</c:v>
                </c:pt>
                <c:pt idx="89">
                  <c:v>Maize Meal 10kg</c:v>
                </c:pt>
                <c:pt idx="90">
                  <c:v>Stock Cubes 30-pack</c:v>
                </c:pt>
                <c:pt idx="91">
                  <c:v>Soya 5kg</c:v>
                </c:pt>
                <c:pt idx="92">
                  <c:v>Beans 5kg</c:v>
                </c:pt>
                <c:pt idx="93">
                  <c:v>Rice 10kg</c:v>
                </c:pt>
                <c:pt idx="94">
                  <c:v>Maize Meal 10kg</c:v>
                </c:pt>
                <c:pt idx="95">
                  <c:v>Cooking Oil</c:v>
                </c:pt>
                <c:pt idx="96">
                  <c:v>Beans 5kg</c:v>
                </c:pt>
                <c:pt idx="97">
                  <c:v>Cooking Oil</c:v>
                </c:pt>
                <c:pt idx="98">
                  <c:v>Beans 5kg</c:v>
                </c:pt>
                <c:pt idx="99">
                  <c:v>Soya 5kg</c:v>
                </c:pt>
                <c:pt idx="100">
                  <c:v>Stock Cubes 30-pack</c:v>
                </c:pt>
                <c:pt idx="101">
                  <c:v>Stock Cubes 30-pack</c:v>
                </c:pt>
                <c:pt idx="102">
                  <c:v>Maize Meal 10kg</c:v>
                </c:pt>
                <c:pt idx="103">
                  <c:v>Cooking Oil</c:v>
                </c:pt>
                <c:pt idx="104">
                  <c:v>Soya 5kg</c:v>
                </c:pt>
                <c:pt idx="105">
                  <c:v>Cooking Oil</c:v>
                </c:pt>
                <c:pt idx="106">
                  <c:v>Soya 5kg</c:v>
                </c:pt>
                <c:pt idx="107">
                  <c:v>Maize Meal 10kg</c:v>
                </c:pt>
                <c:pt idx="108">
                  <c:v>Cooking Oil</c:v>
                </c:pt>
                <c:pt idx="109">
                  <c:v>Maize Meal 10kg</c:v>
                </c:pt>
                <c:pt idx="110">
                  <c:v>Cooking Oil</c:v>
                </c:pt>
                <c:pt idx="111">
                  <c:v>Cooking Oil</c:v>
                </c:pt>
                <c:pt idx="112">
                  <c:v>Beans 5kg</c:v>
                </c:pt>
                <c:pt idx="113">
                  <c:v>Stock Cubes 30-pack</c:v>
                </c:pt>
                <c:pt idx="114">
                  <c:v>Cooking Oil</c:v>
                </c:pt>
                <c:pt idx="115">
                  <c:v>Soya 5kg</c:v>
                </c:pt>
                <c:pt idx="116">
                  <c:v>Cooking Oil</c:v>
                </c:pt>
                <c:pt idx="117">
                  <c:v>Soya 5kg</c:v>
                </c:pt>
                <c:pt idx="118">
                  <c:v>Soya 5kg</c:v>
                </c:pt>
                <c:pt idx="119">
                  <c:v>Beans 5kg</c:v>
                </c:pt>
                <c:pt idx="120">
                  <c:v>Rice 10kg</c:v>
                </c:pt>
                <c:pt idx="121">
                  <c:v>Cooking Oil</c:v>
                </c:pt>
                <c:pt idx="122">
                  <c:v>Beans 5kg</c:v>
                </c:pt>
                <c:pt idx="123">
                  <c:v>Rice 10kg</c:v>
                </c:pt>
                <c:pt idx="124">
                  <c:v>Cooking Oil</c:v>
                </c:pt>
                <c:pt idx="125">
                  <c:v>Stock Cubes 30-pack</c:v>
                </c:pt>
                <c:pt idx="126">
                  <c:v>Cooking Oil</c:v>
                </c:pt>
                <c:pt idx="127">
                  <c:v>Maize Meal 10kg</c:v>
                </c:pt>
                <c:pt idx="128">
                  <c:v>Soya 5kg</c:v>
                </c:pt>
                <c:pt idx="129">
                  <c:v>Rice 10kg</c:v>
                </c:pt>
                <c:pt idx="130">
                  <c:v>Beans 5kg</c:v>
                </c:pt>
                <c:pt idx="131">
                  <c:v>Rice 10kg</c:v>
                </c:pt>
                <c:pt idx="132">
                  <c:v>Beans 5kg</c:v>
                </c:pt>
                <c:pt idx="133">
                  <c:v>Rice 10kg</c:v>
                </c:pt>
                <c:pt idx="134">
                  <c:v>Soya 5kg</c:v>
                </c:pt>
                <c:pt idx="135">
                  <c:v>Maize Meal 10kg</c:v>
                </c:pt>
                <c:pt idx="136">
                  <c:v>Maize Meal 10kg</c:v>
                </c:pt>
                <c:pt idx="137">
                  <c:v>Stock Cubes 30-pack</c:v>
                </c:pt>
                <c:pt idx="138">
                  <c:v>Rice 10kg</c:v>
                </c:pt>
                <c:pt idx="139">
                  <c:v>Stock Cubes 30-pack</c:v>
                </c:pt>
                <c:pt idx="140">
                  <c:v>Rice 10kg</c:v>
                </c:pt>
                <c:pt idx="141">
                  <c:v>Stock Cubes 30-pack</c:v>
                </c:pt>
                <c:pt idx="142">
                  <c:v>Stock Cubes 30-pack</c:v>
                </c:pt>
                <c:pt idx="143">
                  <c:v>Maize Meal 10kg</c:v>
                </c:pt>
                <c:pt idx="144">
                  <c:v>Maize Meal 10kg</c:v>
                </c:pt>
                <c:pt idx="145">
                  <c:v>Stock Cubes 30-pack</c:v>
                </c:pt>
                <c:pt idx="146">
                  <c:v>Soya 5kg</c:v>
                </c:pt>
                <c:pt idx="147">
                  <c:v>Maize Meal 10kg</c:v>
                </c:pt>
                <c:pt idx="148">
                  <c:v>Beans 5kg</c:v>
                </c:pt>
                <c:pt idx="149">
                  <c:v>Stock Cubes 30-pack</c:v>
                </c:pt>
                <c:pt idx="150">
                  <c:v>Soya 5kg</c:v>
                </c:pt>
                <c:pt idx="151">
                  <c:v>Cooking Oil</c:v>
                </c:pt>
                <c:pt idx="152">
                  <c:v>Stock Cubes 30-pack</c:v>
                </c:pt>
                <c:pt idx="153">
                  <c:v>Stock Cubes 30-pack</c:v>
                </c:pt>
                <c:pt idx="154">
                  <c:v>Soya 5kg</c:v>
                </c:pt>
                <c:pt idx="155">
                  <c:v>Maize Meal 10kg</c:v>
                </c:pt>
                <c:pt idx="156">
                  <c:v>Stock Cubes 30-pack</c:v>
                </c:pt>
                <c:pt idx="157">
                  <c:v>Rice 10kg</c:v>
                </c:pt>
                <c:pt idx="158">
                  <c:v>Maize Meal 10kg</c:v>
                </c:pt>
                <c:pt idx="159">
                  <c:v>Soya 5kg</c:v>
                </c:pt>
                <c:pt idx="160">
                  <c:v>Maize Meal 10kg</c:v>
                </c:pt>
                <c:pt idx="161">
                  <c:v>Cooking Oil</c:v>
                </c:pt>
                <c:pt idx="162">
                  <c:v>Soya 5kg</c:v>
                </c:pt>
                <c:pt idx="163">
                  <c:v>Cooking Oil</c:v>
                </c:pt>
                <c:pt idx="164">
                  <c:v>Cooking Oil</c:v>
                </c:pt>
                <c:pt idx="165">
                  <c:v>Rice 10kg</c:v>
                </c:pt>
                <c:pt idx="166">
                  <c:v>Stock Cubes 30-pack</c:v>
                </c:pt>
                <c:pt idx="167">
                  <c:v>Soya 5kg</c:v>
                </c:pt>
                <c:pt idx="168">
                  <c:v>Maize Meal 10kg</c:v>
                </c:pt>
                <c:pt idx="169">
                  <c:v>Rice 10kg</c:v>
                </c:pt>
                <c:pt idx="170">
                  <c:v>Maize Meal 10kg</c:v>
                </c:pt>
                <c:pt idx="171">
                  <c:v>Soya 5kg</c:v>
                </c:pt>
                <c:pt idx="172">
                  <c:v>Rice 10kg</c:v>
                </c:pt>
                <c:pt idx="173">
                  <c:v>Rice 10kg</c:v>
                </c:pt>
                <c:pt idx="174">
                  <c:v>Beans 5kg</c:v>
                </c:pt>
                <c:pt idx="175">
                  <c:v>Maize Meal 10kg</c:v>
                </c:pt>
                <c:pt idx="176">
                  <c:v>Beans 5kg</c:v>
                </c:pt>
                <c:pt idx="177">
                  <c:v>Cooking Oil</c:v>
                </c:pt>
                <c:pt idx="178">
                  <c:v>Stock Cubes 30-pack</c:v>
                </c:pt>
                <c:pt idx="179">
                  <c:v>Maize Meal 10kg</c:v>
                </c:pt>
                <c:pt idx="180">
                  <c:v>Stock Cubes 30-pack</c:v>
                </c:pt>
                <c:pt idx="181">
                  <c:v>Beans 5kg</c:v>
                </c:pt>
                <c:pt idx="182">
                  <c:v>Beans 5kg</c:v>
                </c:pt>
                <c:pt idx="183">
                  <c:v>Beans 5kg</c:v>
                </c:pt>
                <c:pt idx="184">
                  <c:v>Soya 5kg</c:v>
                </c:pt>
                <c:pt idx="185">
                  <c:v>Cooking Oil</c:v>
                </c:pt>
                <c:pt idx="186">
                  <c:v>Maize Meal 10kg</c:v>
                </c:pt>
                <c:pt idx="187">
                  <c:v>Stock Cubes 30-pack</c:v>
                </c:pt>
                <c:pt idx="188">
                  <c:v>Maize Meal 10kg</c:v>
                </c:pt>
                <c:pt idx="189">
                  <c:v>Rice 10kg</c:v>
                </c:pt>
                <c:pt idx="190">
                  <c:v>Maize Meal 10kg</c:v>
                </c:pt>
                <c:pt idx="191">
                  <c:v>Soya 5kg</c:v>
                </c:pt>
                <c:pt idx="192">
                  <c:v>Beans 5kg</c:v>
                </c:pt>
                <c:pt idx="193">
                  <c:v>Soya 5kg</c:v>
                </c:pt>
                <c:pt idx="194">
                  <c:v>Rice 10kg</c:v>
                </c:pt>
                <c:pt idx="195">
                  <c:v>Rice 10kg</c:v>
                </c:pt>
                <c:pt idx="196">
                  <c:v>Soya 5kg</c:v>
                </c:pt>
                <c:pt idx="197">
                  <c:v>Soya 5kg</c:v>
                </c:pt>
                <c:pt idx="198">
                  <c:v>Maize Meal 10kg</c:v>
                </c:pt>
                <c:pt idx="199">
                  <c:v>Maize Meal 10kg</c:v>
                </c:pt>
                <c:pt idx="200">
                  <c:v>Soya 5kg</c:v>
                </c:pt>
                <c:pt idx="201">
                  <c:v>Beans 5kg</c:v>
                </c:pt>
                <c:pt idx="202">
                  <c:v>Maize Meal 10kg</c:v>
                </c:pt>
                <c:pt idx="203">
                  <c:v>Stock Cubes 30-pack</c:v>
                </c:pt>
                <c:pt idx="204">
                  <c:v>Beans 5kg</c:v>
                </c:pt>
                <c:pt idx="205">
                  <c:v>Cooking Oil</c:v>
                </c:pt>
                <c:pt idx="206">
                  <c:v>Beans 5kg</c:v>
                </c:pt>
                <c:pt idx="207">
                  <c:v>Beans 5kg</c:v>
                </c:pt>
                <c:pt idx="208">
                  <c:v>Stock Cubes 30-pack</c:v>
                </c:pt>
                <c:pt idx="209">
                  <c:v>Beans 5kg</c:v>
                </c:pt>
                <c:pt idx="210">
                  <c:v>Stock Cubes 30-pack</c:v>
                </c:pt>
                <c:pt idx="211">
                  <c:v>Soya 5kg</c:v>
                </c:pt>
                <c:pt idx="212">
                  <c:v>Stock Cubes 30-pack</c:v>
                </c:pt>
                <c:pt idx="213">
                  <c:v>Maize Meal 10kg</c:v>
                </c:pt>
                <c:pt idx="214">
                  <c:v>Maize Meal 10kg</c:v>
                </c:pt>
                <c:pt idx="215">
                  <c:v>Cooking Oil</c:v>
                </c:pt>
                <c:pt idx="216">
                  <c:v>Rice 10kg</c:v>
                </c:pt>
                <c:pt idx="217">
                  <c:v>Rice 10kg</c:v>
                </c:pt>
                <c:pt idx="218">
                  <c:v>Maize Meal 10kg</c:v>
                </c:pt>
                <c:pt idx="219">
                  <c:v>Rice 10kg</c:v>
                </c:pt>
                <c:pt idx="220">
                  <c:v>Maize Meal 10kg</c:v>
                </c:pt>
                <c:pt idx="221">
                  <c:v>Maize Meal 10kg</c:v>
                </c:pt>
                <c:pt idx="222">
                  <c:v>Cooking Oil</c:v>
                </c:pt>
                <c:pt idx="223">
                  <c:v>Rice 10kg</c:v>
                </c:pt>
                <c:pt idx="224">
                  <c:v>Beans 5kg</c:v>
                </c:pt>
                <c:pt idx="225">
                  <c:v>Beans 5kg</c:v>
                </c:pt>
                <c:pt idx="226">
                  <c:v>Rice 10kg</c:v>
                </c:pt>
                <c:pt idx="227">
                  <c:v>Soya 5kg</c:v>
                </c:pt>
                <c:pt idx="228">
                  <c:v>Maize Meal 10kg</c:v>
                </c:pt>
                <c:pt idx="229">
                  <c:v>Stock Cubes 30-pack</c:v>
                </c:pt>
                <c:pt idx="230">
                  <c:v>Rice 10kg</c:v>
                </c:pt>
                <c:pt idx="231">
                  <c:v>Rice 10kg</c:v>
                </c:pt>
                <c:pt idx="232">
                  <c:v>Rice 10kg</c:v>
                </c:pt>
                <c:pt idx="233">
                  <c:v>Beans 5kg</c:v>
                </c:pt>
                <c:pt idx="234">
                  <c:v>Cooking Oil</c:v>
                </c:pt>
                <c:pt idx="235">
                  <c:v>Soya 5kg</c:v>
                </c:pt>
                <c:pt idx="236">
                  <c:v>Cooking Oil</c:v>
                </c:pt>
                <c:pt idx="237">
                  <c:v>Maize Meal 10kg</c:v>
                </c:pt>
                <c:pt idx="238">
                  <c:v>Beans 5kg</c:v>
                </c:pt>
                <c:pt idx="239">
                  <c:v>Beans 5kg</c:v>
                </c:pt>
                <c:pt idx="240">
                  <c:v>Stock Cubes 30-pack</c:v>
                </c:pt>
                <c:pt idx="241">
                  <c:v>Beans 5kg</c:v>
                </c:pt>
                <c:pt idx="242">
                  <c:v>Maize Meal 10kg</c:v>
                </c:pt>
                <c:pt idx="243">
                  <c:v>Cooking Oil</c:v>
                </c:pt>
                <c:pt idx="244">
                  <c:v>Maize Meal 10kg</c:v>
                </c:pt>
                <c:pt idx="245">
                  <c:v>Cooking Oil</c:v>
                </c:pt>
                <c:pt idx="246">
                  <c:v>Soya 5kg</c:v>
                </c:pt>
                <c:pt idx="247">
                  <c:v>Cooking Oil</c:v>
                </c:pt>
                <c:pt idx="248">
                  <c:v>Maize Meal 10kg</c:v>
                </c:pt>
                <c:pt idx="249">
                  <c:v>Stock Cubes 30-pack</c:v>
                </c:pt>
                <c:pt idx="250">
                  <c:v>Beans 5kg</c:v>
                </c:pt>
                <c:pt idx="251">
                  <c:v>Beans 5kg</c:v>
                </c:pt>
                <c:pt idx="252">
                  <c:v>Rice 10kg</c:v>
                </c:pt>
                <c:pt idx="253">
                  <c:v>Rice 10kg</c:v>
                </c:pt>
                <c:pt idx="254">
                  <c:v>Rice 10kg</c:v>
                </c:pt>
                <c:pt idx="255">
                  <c:v>Soya 5kg</c:v>
                </c:pt>
                <c:pt idx="256">
                  <c:v>Cooking Oil</c:v>
                </c:pt>
                <c:pt idx="257">
                  <c:v>Stock Cubes 30-pack</c:v>
                </c:pt>
                <c:pt idx="258">
                  <c:v>Cooking Oil</c:v>
                </c:pt>
                <c:pt idx="259">
                  <c:v>Beans 5kg</c:v>
                </c:pt>
                <c:pt idx="260">
                  <c:v>Cooking Oil</c:v>
                </c:pt>
                <c:pt idx="261">
                  <c:v>Stock Cubes 30-pack</c:v>
                </c:pt>
                <c:pt idx="262">
                  <c:v>Cooking Oil</c:v>
                </c:pt>
                <c:pt idx="263">
                  <c:v>Rice 10kg</c:v>
                </c:pt>
                <c:pt idx="264">
                  <c:v>Maize Meal 10kg</c:v>
                </c:pt>
                <c:pt idx="265">
                  <c:v>Rice 10kg</c:v>
                </c:pt>
                <c:pt idx="266">
                  <c:v>Beans 5kg</c:v>
                </c:pt>
                <c:pt idx="267">
                  <c:v>Beans 5kg</c:v>
                </c:pt>
                <c:pt idx="268">
                  <c:v>Soya 5kg</c:v>
                </c:pt>
                <c:pt idx="269">
                  <c:v>Maize Meal 10kg</c:v>
                </c:pt>
                <c:pt idx="270">
                  <c:v>Soya 5kg</c:v>
                </c:pt>
                <c:pt idx="271">
                  <c:v>Cooking Oil</c:v>
                </c:pt>
                <c:pt idx="272">
                  <c:v>Stock Cubes 30-pack</c:v>
                </c:pt>
                <c:pt idx="273">
                  <c:v>Stock Cubes 30-pack</c:v>
                </c:pt>
                <c:pt idx="274">
                  <c:v>Cooking Oil</c:v>
                </c:pt>
                <c:pt idx="275">
                  <c:v>Cooking Oil</c:v>
                </c:pt>
                <c:pt idx="276">
                  <c:v>Maize Meal 10kg</c:v>
                </c:pt>
                <c:pt idx="277">
                  <c:v>Stock Cubes 30-pack</c:v>
                </c:pt>
                <c:pt idx="278">
                  <c:v>Stock Cubes 30-pack</c:v>
                </c:pt>
                <c:pt idx="279">
                  <c:v>Soya 5kg</c:v>
                </c:pt>
                <c:pt idx="280">
                  <c:v>Rice 10kg</c:v>
                </c:pt>
                <c:pt idx="281">
                  <c:v>Beans 5kg</c:v>
                </c:pt>
                <c:pt idx="282">
                  <c:v>Maize Meal 10kg</c:v>
                </c:pt>
                <c:pt idx="283">
                  <c:v>Maize Meal 10kg</c:v>
                </c:pt>
                <c:pt idx="284">
                  <c:v>Cooking Oil</c:v>
                </c:pt>
                <c:pt idx="285">
                  <c:v>Cooking Oil</c:v>
                </c:pt>
                <c:pt idx="286">
                  <c:v>Cooking Oil</c:v>
                </c:pt>
                <c:pt idx="287">
                  <c:v>Soya 5kg</c:v>
                </c:pt>
                <c:pt idx="288">
                  <c:v>Beans 5kg</c:v>
                </c:pt>
                <c:pt idx="289">
                  <c:v>Stock Cubes 30-pack</c:v>
                </c:pt>
                <c:pt idx="290">
                  <c:v>Stock Cubes 30-pack</c:v>
                </c:pt>
                <c:pt idx="291">
                  <c:v>Beans 5kg</c:v>
                </c:pt>
                <c:pt idx="292">
                  <c:v>Soya 5kg</c:v>
                </c:pt>
                <c:pt idx="293">
                  <c:v>Cooking Oil</c:v>
                </c:pt>
                <c:pt idx="294">
                  <c:v>Cooking Oil</c:v>
                </c:pt>
                <c:pt idx="295">
                  <c:v>Maize Meal 10kg</c:v>
                </c:pt>
                <c:pt idx="296">
                  <c:v>Soya 5kg</c:v>
                </c:pt>
                <c:pt idx="297">
                  <c:v>Cooking Oil</c:v>
                </c:pt>
                <c:pt idx="298">
                  <c:v>Maize Meal 10kg</c:v>
                </c:pt>
                <c:pt idx="299">
                  <c:v>Soya 5kg</c:v>
                </c:pt>
                <c:pt idx="300">
                  <c:v>Soya 5kg</c:v>
                </c:pt>
                <c:pt idx="301">
                  <c:v>Stock Cubes 30-pack</c:v>
                </c:pt>
                <c:pt idx="302">
                  <c:v>Stock Cubes 30-pack</c:v>
                </c:pt>
                <c:pt idx="303">
                  <c:v>Maize Meal 10kg</c:v>
                </c:pt>
                <c:pt idx="304">
                  <c:v>Maize Meal 10kg</c:v>
                </c:pt>
                <c:pt idx="305">
                  <c:v>Soya 5kg</c:v>
                </c:pt>
                <c:pt idx="306">
                  <c:v>Stock Cubes 30-pack</c:v>
                </c:pt>
                <c:pt idx="307">
                  <c:v>Soya 5kg</c:v>
                </c:pt>
                <c:pt idx="308">
                  <c:v>Cooking Oil</c:v>
                </c:pt>
                <c:pt idx="309">
                  <c:v>Cooking Oil</c:v>
                </c:pt>
                <c:pt idx="310">
                  <c:v>Stock Cubes 30-pack</c:v>
                </c:pt>
                <c:pt idx="311">
                  <c:v>Beans 5kg</c:v>
                </c:pt>
                <c:pt idx="312">
                  <c:v>Rice 10kg</c:v>
                </c:pt>
                <c:pt idx="313">
                  <c:v>Soya 5kg</c:v>
                </c:pt>
                <c:pt idx="314">
                  <c:v>Rice 10kg</c:v>
                </c:pt>
                <c:pt idx="315">
                  <c:v>Rice 10kg</c:v>
                </c:pt>
                <c:pt idx="316">
                  <c:v>Beans 5kg</c:v>
                </c:pt>
                <c:pt idx="317">
                  <c:v>Cooking Oil</c:v>
                </c:pt>
                <c:pt idx="318">
                  <c:v>Rice 10kg</c:v>
                </c:pt>
                <c:pt idx="319">
                  <c:v>Beans 5kg</c:v>
                </c:pt>
                <c:pt idx="320">
                  <c:v>Cooking Oil</c:v>
                </c:pt>
                <c:pt idx="321">
                  <c:v>Maize Meal 10kg</c:v>
                </c:pt>
                <c:pt idx="322">
                  <c:v>Cooking Oil</c:v>
                </c:pt>
                <c:pt idx="323">
                  <c:v>Rice 10kg</c:v>
                </c:pt>
                <c:pt idx="324">
                  <c:v>Cooking Oil</c:v>
                </c:pt>
                <c:pt idx="325">
                  <c:v>Stock Cubes 30-pack</c:v>
                </c:pt>
                <c:pt idx="326">
                  <c:v>Stock Cubes 30-pack</c:v>
                </c:pt>
                <c:pt idx="327">
                  <c:v>Maize Meal 10kg</c:v>
                </c:pt>
                <c:pt idx="328">
                  <c:v>Stock Cubes 30-pack</c:v>
                </c:pt>
                <c:pt idx="329">
                  <c:v>Soya 5kg</c:v>
                </c:pt>
                <c:pt idx="330">
                  <c:v>Cooking Oil</c:v>
                </c:pt>
                <c:pt idx="331">
                  <c:v>Soya 5kg</c:v>
                </c:pt>
                <c:pt idx="332">
                  <c:v>Rice 10kg</c:v>
                </c:pt>
                <c:pt idx="333">
                  <c:v>Rice 10kg</c:v>
                </c:pt>
                <c:pt idx="334">
                  <c:v>Stock Cubes 30-pack</c:v>
                </c:pt>
                <c:pt idx="335">
                  <c:v>Rice 10kg</c:v>
                </c:pt>
                <c:pt idx="336">
                  <c:v>Stock Cubes 30-pack</c:v>
                </c:pt>
                <c:pt idx="337">
                  <c:v>Maize Meal 10kg</c:v>
                </c:pt>
                <c:pt idx="338">
                  <c:v>Beans 5kg</c:v>
                </c:pt>
                <c:pt idx="339">
                  <c:v>Cooking Oil</c:v>
                </c:pt>
                <c:pt idx="340">
                  <c:v>Maize Meal 10kg</c:v>
                </c:pt>
                <c:pt idx="341">
                  <c:v>Beans 5kg</c:v>
                </c:pt>
                <c:pt idx="342">
                  <c:v>Cooking Oil</c:v>
                </c:pt>
                <c:pt idx="343">
                  <c:v>Beans 5kg</c:v>
                </c:pt>
                <c:pt idx="344">
                  <c:v>Maize Meal 10kg</c:v>
                </c:pt>
                <c:pt idx="345">
                  <c:v>Maize Meal 10kg</c:v>
                </c:pt>
                <c:pt idx="346">
                  <c:v>Beans 5kg</c:v>
                </c:pt>
                <c:pt idx="347">
                  <c:v>Rice 10kg</c:v>
                </c:pt>
                <c:pt idx="348">
                  <c:v>Rice 10kg</c:v>
                </c:pt>
                <c:pt idx="349">
                  <c:v>Beans 5kg</c:v>
                </c:pt>
                <c:pt idx="350">
                  <c:v>Soya 5kg</c:v>
                </c:pt>
                <c:pt idx="351">
                  <c:v>Stock Cubes 30-pack</c:v>
                </c:pt>
                <c:pt idx="352">
                  <c:v>Stock Cubes 30-pack</c:v>
                </c:pt>
                <c:pt idx="353">
                  <c:v>Soya 5kg</c:v>
                </c:pt>
                <c:pt idx="354">
                  <c:v>Rice 10kg</c:v>
                </c:pt>
                <c:pt idx="355">
                  <c:v>Maize Meal 10kg</c:v>
                </c:pt>
                <c:pt idx="356">
                  <c:v>Soya 5kg</c:v>
                </c:pt>
                <c:pt idx="357">
                  <c:v>Stock Cubes 30-pack</c:v>
                </c:pt>
                <c:pt idx="358">
                  <c:v>Stock Cubes 30-pack</c:v>
                </c:pt>
                <c:pt idx="359">
                  <c:v>Cooking Oil</c:v>
                </c:pt>
                <c:pt idx="360">
                  <c:v>Maize Meal 10kg</c:v>
                </c:pt>
                <c:pt idx="361">
                  <c:v>Cooking Oil</c:v>
                </c:pt>
                <c:pt idx="362">
                  <c:v>Rice 10kg</c:v>
                </c:pt>
                <c:pt idx="363">
                  <c:v>Stock Cubes 30-pack</c:v>
                </c:pt>
                <c:pt idx="364">
                  <c:v>Rice 10kg</c:v>
                </c:pt>
                <c:pt idx="365">
                  <c:v>Beans 5kg</c:v>
                </c:pt>
                <c:pt idx="366">
                  <c:v>Beans 5kg</c:v>
                </c:pt>
                <c:pt idx="367">
                  <c:v>Stock Cubes 30-pack</c:v>
                </c:pt>
                <c:pt idx="368">
                  <c:v>Stock Cubes 30-pack</c:v>
                </c:pt>
                <c:pt idx="369">
                  <c:v>Cooking Oil</c:v>
                </c:pt>
                <c:pt idx="370">
                  <c:v>Maize Meal 10kg</c:v>
                </c:pt>
                <c:pt idx="371">
                  <c:v>Stock Cubes 30-pack</c:v>
                </c:pt>
                <c:pt idx="372">
                  <c:v>Rice 10kg</c:v>
                </c:pt>
                <c:pt idx="373">
                  <c:v>Cooking Oil</c:v>
                </c:pt>
                <c:pt idx="374">
                  <c:v>Soya 5kg</c:v>
                </c:pt>
                <c:pt idx="375">
                  <c:v>Soya 5kg</c:v>
                </c:pt>
                <c:pt idx="376">
                  <c:v>Maize Meal 10kg</c:v>
                </c:pt>
                <c:pt idx="377">
                  <c:v>Beans 5kg</c:v>
                </c:pt>
                <c:pt idx="378">
                  <c:v>Cooking Oil</c:v>
                </c:pt>
                <c:pt idx="379">
                  <c:v>Beans 5kg</c:v>
                </c:pt>
                <c:pt idx="380">
                  <c:v>Soya 5kg</c:v>
                </c:pt>
                <c:pt idx="381">
                  <c:v>Maize Meal 10kg</c:v>
                </c:pt>
                <c:pt idx="382">
                  <c:v>Maize Meal 10kg</c:v>
                </c:pt>
                <c:pt idx="383">
                  <c:v>Cooking Oil</c:v>
                </c:pt>
                <c:pt idx="384">
                  <c:v>Beans 5kg</c:v>
                </c:pt>
                <c:pt idx="385">
                  <c:v>Rice 10kg</c:v>
                </c:pt>
                <c:pt idx="386">
                  <c:v>Beans 5kg</c:v>
                </c:pt>
                <c:pt idx="387">
                  <c:v>Cooking Oil</c:v>
                </c:pt>
                <c:pt idx="388">
                  <c:v>Cooking Oil</c:v>
                </c:pt>
                <c:pt idx="389">
                  <c:v>Soya 5kg</c:v>
                </c:pt>
                <c:pt idx="390">
                  <c:v>Stock Cubes 30-pack</c:v>
                </c:pt>
                <c:pt idx="391">
                  <c:v>Soya 5kg</c:v>
                </c:pt>
                <c:pt idx="392">
                  <c:v>Rice 10kg</c:v>
                </c:pt>
                <c:pt idx="393">
                  <c:v>Stock Cubes 30-pack</c:v>
                </c:pt>
                <c:pt idx="394">
                  <c:v>Cooking Oil</c:v>
                </c:pt>
                <c:pt idx="395">
                  <c:v>Maize Meal 10kg</c:v>
                </c:pt>
                <c:pt idx="396">
                  <c:v>Rice 10kg</c:v>
                </c:pt>
                <c:pt idx="397">
                  <c:v>Soya 5kg</c:v>
                </c:pt>
                <c:pt idx="398">
                  <c:v>Soya 5kg</c:v>
                </c:pt>
                <c:pt idx="399">
                  <c:v>Cooking Oil</c:v>
                </c:pt>
                <c:pt idx="400">
                  <c:v>Beans 5kg</c:v>
                </c:pt>
                <c:pt idx="401">
                  <c:v>Cooking Oil</c:v>
                </c:pt>
                <c:pt idx="402">
                  <c:v>Rice 10kg</c:v>
                </c:pt>
                <c:pt idx="403">
                  <c:v>Maize Meal 10kg</c:v>
                </c:pt>
                <c:pt idx="404">
                  <c:v>Beans 5kg</c:v>
                </c:pt>
                <c:pt idx="405">
                  <c:v>Soya 5kg</c:v>
                </c:pt>
                <c:pt idx="406">
                  <c:v>Cooking Oil</c:v>
                </c:pt>
                <c:pt idx="407">
                  <c:v>Maize Meal 10kg</c:v>
                </c:pt>
                <c:pt idx="408">
                  <c:v>Maize Meal 10kg</c:v>
                </c:pt>
                <c:pt idx="409">
                  <c:v>Maize Meal 10kg</c:v>
                </c:pt>
                <c:pt idx="410">
                  <c:v>Soya 5kg</c:v>
                </c:pt>
                <c:pt idx="411">
                  <c:v>Soya 5kg</c:v>
                </c:pt>
                <c:pt idx="412">
                  <c:v>Rice 10kg</c:v>
                </c:pt>
                <c:pt idx="413">
                  <c:v>Stock Cubes 30-pack</c:v>
                </c:pt>
                <c:pt idx="414">
                  <c:v>Rice 10kg</c:v>
                </c:pt>
                <c:pt idx="415">
                  <c:v>Soya 5kg</c:v>
                </c:pt>
                <c:pt idx="416">
                  <c:v>Rice 10kg</c:v>
                </c:pt>
                <c:pt idx="417">
                  <c:v>Stock Cubes 30-pack</c:v>
                </c:pt>
                <c:pt idx="418">
                  <c:v>Soya 5kg</c:v>
                </c:pt>
                <c:pt idx="419">
                  <c:v>Beans 5kg</c:v>
                </c:pt>
                <c:pt idx="420">
                  <c:v>Beans 5kg</c:v>
                </c:pt>
                <c:pt idx="421">
                  <c:v>Stock Cubes 30-pack</c:v>
                </c:pt>
                <c:pt idx="422">
                  <c:v>Stock Cubes 30-pack</c:v>
                </c:pt>
                <c:pt idx="423">
                  <c:v>Soya 5kg</c:v>
                </c:pt>
                <c:pt idx="424">
                  <c:v>Beans 5kg</c:v>
                </c:pt>
                <c:pt idx="425">
                  <c:v>Rice 10kg</c:v>
                </c:pt>
                <c:pt idx="426">
                  <c:v>Cooking Oil</c:v>
                </c:pt>
                <c:pt idx="427">
                  <c:v>Soya 5kg</c:v>
                </c:pt>
                <c:pt idx="428">
                  <c:v>Cooking Oil</c:v>
                </c:pt>
                <c:pt idx="429">
                  <c:v>Cooking Oil</c:v>
                </c:pt>
                <c:pt idx="430">
                  <c:v>Soya 5kg</c:v>
                </c:pt>
                <c:pt idx="431">
                  <c:v>Cooking Oil</c:v>
                </c:pt>
                <c:pt idx="432">
                  <c:v>Maize Meal 10kg</c:v>
                </c:pt>
                <c:pt idx="433">
                  <c:v>Rice 10kg</c:v>
                </c:pt>
                <c:pt idx="434">
                  <c:v>Rice 10kg</c:v>
                </c:pt>
                <c:pt idx="435">
                  <c:v>Soya 5kg</c:v>
                </c:pt>
                <c:pt idx="436">
                  <c:v>Stock Cubes 30-pack</c:v>
                </c:pt>
                <c:pt idx="437">
                  <c:v>Soya 5kg</c:v>
                </c:pt>
                <c:pt idx="438">
                  <c:v>Beans 5kg</c:v>
                </c:pt>
                <c:pt idx="439">
                  <c:v>Maize Meal 10kg</c:v>
                </c:pt>
                <c:pt idx="440">
                  <c:v>Beans 5kg</c:v>
                </c:pt>
                <c:pt idx="441">
                  <c:v>Rice 10kg</c:v>
                </c:pt>
                <c:pt idx="442">
                  <c:v>Rice 10kg</c:v>
                </c:pt>
                <c:pt idx="443">
                  <c:v>Maize Meal 10kg</c:v>
                </c:pt>
                <c:pt idx="444">
                  <c:v>Soya 5kg</c:v>
                </c:pt>
                <c:pt idx="445">
                  <c:v>Stock Cubes 30-pack</c:v>
                </c:pt>
                <c:pt idx="446">
                  <c:v>Rice 10kg</c:v>
                </c:pt>
                <c:pt idx="447">
                  <c:v>Beans 5kg</c:v>
                </c:pt>
                <c:pt idx="448">
                  <c:v>Maize Meal 10kg</c:v>
                </c:pt>
                <c:pt idx="449">
                  <c:v>Maize Meal 10kg</c:v>
                </c:pt>
                <c:pt idx="450">
                  <c:v>Maize Meal 10kg</c:v>
                </c:pt>
                <c:pt idx="451">
                  <c:v>Cooking Oil</c:v>
                </c:pt>
                <c:pt idx="452">
                  <c:v>Maize Meal 10kg</c:v>
                </c:pt>
                <c:pt idx="453">
                  <c:v>Beans 5kg</c:v>
                </c:pt>
                <c:pt idx="454">
                  <c:v>Stock Cubes 30-pack</c:v>
                </c:pt>
                <c:pt idx="455">
                  <c:v>Cooking Oil</c:v>
                </c:pt>
                <c:pt idx="456">
                  <c:v>Cooking Oil</c:v>
                </c:pt>
                <c:pt idx="457">
                  <c:v>Stock Cubes 30-pack</c:v>
                </c:pt>
                <c:pt idx="458">
                  <c:v>Rice 10kg</c:v>
                </c:pt>
                <c:pt idx="459">
                  <c:v>Stock Cubes 30-pack</c:v>
                </c:pt>
                <c:pt idx="460">
                  <c:v>Beans 5kg</c:v>
                </c:pt>
                <c:pt idx="461">
                  <c:v>Maize Meal 10kg</c:v>
                </c:pt>
                <c:pt idx="462">
                  <c:v>Cooking Oil</c:v>
                </c:pt>
                <c:pt idx="463">
                  <c:v>Cooking Oil</c:v>
                </c:pt>
                <c:pt idx="464">
                  <c:v>Beans 5kg</c:v>
                </c:pt>
                <c:pt idx="465">
                  <c:v>Rice 10kg</c:v>
                </c:pt>
                <c:pt idx="466">
                  <c:v>Maize Meal 10kg</c:v>
                </c:pt>
                <c:pt idx="467">
                  <c:v>Stock Cubes 30-pack</c:v>
                </c:pt>
                <c:pt idx="468">
                  <c:v>Soya 5kg</c:v>
                </c:pt>
                <c:pt idx="469">
                  <c:v>Cooking Oil</c:v>
                </c:pt>
                <c:pt idx="470">
                  <c:v>Cooking Oil</c:v>
                </c:pt>
                <c:pt idx="471">
                  <c:v>Rice 10kg</c:v>
                </c:pt>
                <c:pt idx="472">
                  <c:v>Cooking Oil</c:v>
                </c:pt>
                <c:pt idx="473">
                  <c:v>Stock Cubes 30-pack</c:v>
                </c:pt>
                <c:pt idx="474">
                  <c:v>Stock Cubes 30-pack</c:v>
                </c:pt>
                <c:pt idx="475">
                  <c:v>Beans 5kg</c:v>
                </c:pt>
                <c:pt idx="476">
                  <c:v>Rice 10kg</c:v>
                </c:pt>
                <c:pt idx="477">
                  <c:v>Soya 5kg</c:v>
                </c:pt>
                <c:pt idx="478">
                  <c:v>Soya 5kg</c:v>
                </c:pt>
                <c:pt idx="479">
                  <c:v>Stock Cubes 30-pack</c:v>
                </c:pt>
                <c:pt idx="480">
                  <c:v>Soya 5kg</c:v>
                </c:pt>
                <c:pt idx="481">
                  <c:v>Soya 5kg</c:v>
                </c:pt>
                <c:pt idx="482">
                  <c:v>Beans 5kg</c:v>
                </c:pt>
                <c:pt idx="483">
                  <c:v>Beans 5kg</c:v>
                </c:pt>
                <c:pt idx="484">
                  <c:v>Rice 10kg</c:v>
                </c:pt>
                <c:pt idx="485">
                  <c:v>Stock Cubes 30-pack</c:v>
                </c:pt>
                <c:pt idx="486">
                  <c:v>Cooking Oil</c:v>
                </c:pt>
                <c:pt idx="487">
                  <c:v>Soya 5kg</c:v>
                </c:pt>
                <c:pt idx="488">
                  <c:v>Maize Meal 10kg</c:v>
                </c:pt>
                <c:pt idx="489">
                  <c:v>Beans 5kg</c:v>
                </c:pt>
                <c:pt idx="490">
                  <c:v>Cooking Oil</c:v>
                </c:pt>
                <c:pt idx="491">
                  <c:v>Soya 5kg</c:v>
                </c:pt>
                <c:pt idx="492">
                  <c:v>Cooking Oil</c:v>
                </c:pt>
                <c:pt idx="493">
                  <c:v>Soya 5kg</c:v>
                </c:pt>
                <c:pt idx="494">
                  <c:v>Stock Cubes 30-pack</c:v>
                </c:pt>
                <c:pt idx="495">
                  <c:v>Beans 5kg</c:v>
                </c:pt>
                <c:pt idx="496">
                  <c:v>Stock Cubes 30-pack</c:v>
                </c:pt>
                <c:pt idx="497">
                  <c:v>Beans 5kg</c:v>
                </c:pt>
                <c:pt idx="498">
                  <c:v>Stock Cubes 30-pack</c:v>
                </c:pt>
                <c:pt idx="499">
                  <c:v>Rice 10kg</c:v>
                </c:pt>
                <c:pt idx="500">
                  <c:v>Soya 5kg</c:v>
                </c:pt>
              </c:strCache>
            </c:strRef>
          </c:cat>
          <c:val>
            <c:numRef>
              <c:f>ORDER_DATA!$I$2:$I$502</c:f>
              <c:numCache>
                <c:formatCode>General</c:formatCode>
                <c:ptCount val="501"/>
                <c:pt idx="0">
                  <c:v>0</c:v>
                </c:pt>
                <c:pt idx="1">
                  <c:v>19</c:v>
                </c:pt>
                <c:pt idx="2">
                  <c:v>41</c:v>
                </c:pt>
                <c:pt idx="3">
                  <c:v>28</c:v>
                </c:pt>
                <c:pt idx="4">
                  <c:v>29</c:v>
                </c:pt>
                <c:pt idx="5">
                  <c:v>8</c:v>
                </c:pt>
                <c:pt idx="6">
                  <c:v>54</c:v>
                </c:pt>
                <c:pt idx="7">
                  <c:v>16</c:v>
                </c:pt>
                <c:pt idx="8">
                  <c:v>25</c:v>
                </c:pt>
                <c:pt idx="9">
                  <c:v>12</c:v>
                </c:pt>
                <c:pt idx="10">
                  <c:v>22</c:v>
                </c:pt>
                <c:pt idx="11">
                  <c:v>6</c:v>
                </c:pt>
                <c:pt idx="12">
                  <c:v>18</c:v>
                </c:pt>
                <c:pt idx="13">
                  <c:v>25</c:v>
                </c:pt>
                <c:pt idx="14">
                  <c:v>12</c:v>
                </c:pt>
                <c:pt idx="15">
                  <c:v>18</c:v>
                </c:pt>
                <c:pt idx="16">
                  <c:v>23</c:v>
                </c:pt>
                <c:pt idx="17">
                  <c:v>13</c:v>
                </c:pt>
                <c:pt idx="18">
                  <c:v>25</c:v>
                </c:pt>
                <c:pt idx="19">
                  <c:v>21</c:v>
                </c:pt>
                <c:pt idx="20">
                  <c:v>10</c:v>
                </c:pt>
                <c:pt idx="21">
                  <c:v>14</c:v>
                </c:pt>
                <c:pt idx="22">
                  <c:v>37</c:v>
                </c:pt>
                <c:pt idx="23">
                  <c:v>6</c:v>
                </c:pt>
                <c:pt idx="24">
                  <c:v>10</c:v>
                </c:pt>
                <c:pt idx="25">
                  <c:v>8</c:v>
                </c:pt>
                <c:pt idx="26">
                  <c:v>57</c:v>
                </c:pt>
                <c:pt idx="27">
                  <c:v>13</c:v>
                </c:pt>
                <c:pt idx="28">
                  <c:v>5</c:v>
                </c:pt>
                <c:pt idx="29">
                  <c:v>28</c:v>
                </c:pt>
                <c:pt idx="30">
                  <c:v>18</c:v>
                </c:pt>
                <c:pt idx="31">
                  <c:v>33</c:v>
                </c:pt>
                <c:pt idx="32">
                  <c:v>73</c:v>
                </c:pt>
                <c:pt idx="33">
                  <c:v>6</c:v>
                </c:pt>
                <c:pt idx="34">
                  <c:v>4</c:v>
                </c:pt>
                <c:pt idx="35">
                  <c:v>18</c:v>
                </c:pt>
                <c:pt idx="36">
                  <c:v>31</c:v>
                </c:pt>
                <c:pt idx="37">
                  <c:v>24</c:v>
                </c:pt>
                <c:pt idx="38">
                  <c:v>21</c:v>
                </c:pt>
                <c:pt idx="39">
                  <c:v>18</c:v>
                </c:pt>
                <c:pt idx="40">
                  <c:v>18</c:v>
                </c:pt>
                <c:pt idx="41">
                  <c:v>2</c:v>
                </c:pt>
                <c:pt idx="42">
                  <c:v>2</c:v>
                </c:pt>
                <c:pt idx="43">
                  <c:v>11</c:v>
                </c:pt>
                <c:pt idx="44">
                  <c:v>15</c:v>
                </c:pt>
                <c:pt idx="45">
                  <c:v>11</c:v>
                </c:pt>
                <c:pt idx="46">
                  <c:v>13</c:v>
                </c:pt>
                <c:pt idx="47">
                  <c:v>12</c:v>
                </c:pt>
                <c:pt idx="48">
                  <c:v>31</c:v>
                </c:pt>
                <c:pt idx="49">
                  <c:v>6</c:v>
                </c:pt>
                <c:pt idx="50">
                  <c:v>3</c:v>
                </c:pt>
                <c:pt idx="51">
                  <c:v>29</c:v>
                </c:pt>
                <c:pt idx="52">
                  <c:v>14</c:v>
                </c:pt>
                <c:pt idx="53">
                  <c:v>14</c:v>
                </c:pt>
                <c:pt idx="54">
                  <c:v>21</c:v>
                </c:pt>
                <c:pt idx="55">
                  <c:v>14</c:v>
                </c:pt>
                <c:pt idx="56">
                  <c:v>21</c:v>
                </c:pt>
                <c:pt idx="57">
                  <c:v>32</c:v>
                </c:pt>
                <c:pt idx="58">
                  <c:v>7</c:v>
                </c:pt>
                <c:pt idx="59">
                  <c:v>17</c:v>
                </c:pt>
                <c:pt idx="60">
                  <c:v>26</c:v>
                </c:pt>
                <c:pt idx="61">
                  <c:v>16</c:v>
                </c:pt>
                <c:pt idx="62">
                  <c:v>10</c:v>
                </c:pt>
                <c:pt idx="63">
                  <c:v>34</c:v>
                </c:pt>
                <c:pt idx="64">
                  <c:v>18</c:v>
                </c:pt>
                <c:pt idx="65">
                  <c:v>54</c:v>
                </c:pt>
                <c:pt idx="66">
                  <c:v>11</c:v>
                </c:pt>
                <c:pt idx="67">
                  <c:v>31</c:v>
                </c:pt>
                <c:pt idx="68">
                  <c:v>26</c:v>
                </c:pt>
                <c:pt idx="69">
                  <c:v>16</c:v>
                </c:pt>
                <c:pt idx="70">
                  <c:v>12</c:v>
                </c:pt>
                <c:pt idx="71">
                  <c:v>29</c:v>
                </c:pt>
                <c:pt idx="72">
                  <c:v>22</c:v>
                </c:pt>
                <c:pt idx="73">
                  <c:v>70</c:v>
                </c:pt>
                <c:pt idx="74">
                  <c:v>17</c:v>
                </c:pt>
                <c:pt idx="75">
                  <c:v>15</c:v>
                </c:pt>
                <c:pt idx="76">
                  <c:v>21</c:v>
                </c:pt>
                <c:pt idx="77">
                  <c:v>80</c:v>
                </c:pt>
                <c:pt idx="78">
                  <c:v>4</c:v>
                </c:pt>
                <c:pt idx="79">
                  <c:v>33</c:v>
                </c:pt>
                <c:pt idx="80">
                  <c:v>19</c:v>
                </c:pt>
                <c:pt idx="81">
                  <c:v>22</c:v>
                </c:pt>
                <c:pt idx="82">
                  <c:v>26</c:v>
                </c:pt>
                <c:pt idx="83">
                  <c:v>19</c:v>
                </c:pt>
                <c:pt idx="84">
                  <c:v>17</c:v>
                </c:pt>
                <c:pt idx="85">
                  <c:v>3</c:v>
                </c:pt>
                <c:pt idx="86">
                  <c:v>32</c:v>
                </c:pt>
                <c:pt idx="87">
                  <c:v>31</c:v>
                </c:pt>
                <c:pt idx="88">
                  <c:v>13</c:v>
                </c:pt>
                <c:pt idx="89">
                  <c:v>20</c:v>
                </c:pt>
                <c:pt idx="90">
                  <c:v>10</c:v>
                </c:pt>
                <c:pt idx="91">
                  <c:v>2</c:v>
                </c:pt>
                <c:pt idx="92">
                  <c:v>32</c:v>
                </c:pt>
                <c:pt idx="93">
                  <c:v>11</c:v>
                </c:pt>
                <c:pt idx="94">
                  <c:v>16</c:v>
                </c:pt>
                <c:pt idx="95">
                  <c:v>21</c:v>
                </c:pt>
                <c:pt idx="96">
                  <c:v>7</c:v>
                </c:pt>
                <c:pt idx="97">
                  <c:v>54</c:v>
                </c:pt>
                <c:pt idx="98">
                  <c:v>14</c:v>
                </c:pt>
                <c:pt idx="99">
                  <c:v>5</c:v>
                </c:pt>
                <c:pt idx="100">
                  <c:v>27</c:v>
                </c:pt>
                <c:pt idx="101">
                  <c:v>22</c:v>
                </c:pt>
                <c:pt idx="102">
                  <c:v>3</c:v>
                </c:pt>
                <c:pt idx="103">
                  <c:v>35</c:v>
                </c:pt>
                <c:pt idx="104">
                  <c:v>32</c:v>
                </c:pt>
                <c:pt idx="105">
                  <c:v>33</c:v>
                </c:pt>
                <c:pt idx="106">
                  <c:v>27</c:v>
                </c:pt>
                <c:pt idx="107">
                  <c:v>33</c:v>
                </c:pt>
                <c:pt idx="108">
                  <c:v>33</c:v>
                </c:pt>
                <c:pt idx="109">
                  <c:v>28</c:v>
                </c:pt>
                <c:pt idx="110">
                  <c:v>20</c:v>
                </c:pt>
                <c:pt idx="111">
                  <c:v>11</c:v>
                </c:pt>
                <c:pt idx="112">
                  <c:v>34</c:v>
                </c:pt>
                <c:pt idx="113">
                  <c:v>33</c:v>
                </c:pt>
                <c:pt idx="114">
                  <c:v>31</c:v>
                </c:pt>
                <c:pt idx="115">
                  <c:v>22</c:v>
                </c:pt>
                <c:pt idx="116">
                  <c:v>4</c:v>
                </c:pt>
                <c:pt idx="117">
                  <c:v>35</c:v>
                </c:pt>
                <c:pt idx="118">
                  <c:v>32</c:v>
                </c:pt>
                <c:pt idx="119">
                  <c:v>26</c:v>
                </c:pt>
                <c:pt idx="120">
                  <c:v>20</c:v>
                </c:pt>
                <c:pt idx="121">
                  <c:v>12</c:v>
                </c:pt>
                <c:pt idx="122">
                  <c:v>29</c:v>
                </c:pt>
                <c:pt idx="123">
                  <c:v>7</c:v>
                </c:pt>
                <c:pt idx="124">
                  <c:v>18</c:v>
                </c:pt>
                <c:pt idx="125">
                  <c:v>58</c:v>
                </c:pt>
                <c:pt idx="126">
                  <c:v>21</c:v>
                </c:pt>
                <c:pt idx="127">
                  <c:v>20</c:v>
                </c:pt>
                <c:pt idx="128">
                  <c:v>5</c:v>
                </c:pt>
                <c:pt idx="129">
                  <c:v>14</c:v>
                </c:pt>
                <c:pt idx="130">
                  <c:v>59</c:v>
                </c:pt>
                <c:pt idx="131">
                  <c:v>14</c:v>
                </c:pt>
                <c:pt idx="132">
                  <c:v>32</c:v>
                </c:pt>
                <c:pt idx="133">
                  <c:v>16</c:v>
                </c:pt>
                <c:pt idx="134">
                  <c:v>70</c:v>
                </c:pt>
                <c:pt idx="135">
                  <c:v>26</c:v>
                </c:pt>
                <c:pt idx="136">
                  <c:v>22</c:v>
                </c:pt>
                <c:pt idx="137">
                  <c:v>28</c:v>
                </c:pt>
                <c:pt idx="138">
                  <c:v>10</c:v>
                </c:pt>
                <c:pt idx="139">
                  <c:v>8</c:v>
                </c:pt>
                <c:pt idx="140">
                  <c:v>30</c:v>
                </c:pt>
                <c:pt idx="141">
                  <c:v>53</c:v>
                </c:pt>
                <c:pt idx="142">
                  <c:v>15</c:v>
                </c:pt>
                <c:pt idx="143">
                  <c:v>71</c:v>
                </c:pt>
                <c:pt idx="144">
                  <c:v>2</c:v>
                </c:pt>
                <c:pt idx="145">
                  <c:v>3</c:v>
                </c:pt>
                <c:pt idx="146">
                  <c:v>10</c:v>
                </c:pt>
                <c:pt idx="147">
                  <c:v>8</c:v>
                </c:pt>
                <c:pt idx="148">
                  <c:v>31</c:v>
                </c:pt>
                <c:pt idx="149">
                  <c:v>8</c:v>
                </c:pt>
                <c:pt idx="150">
                  <c:v>10</c:v>
                </c:pt>
                <c:pt idx="151">
                  <c:v>34</c:v>
                </c:pt>
                <c:pt idx="152">
                  <c:v>15</c:v>
                </c:pt>
                <c:pt idx="153">
                  <c:v>8</c:v>
                </c:pt>
                <c:pt idx="154">
                  <c:v>7</c:v>
                </c:pt>
                <c:pt idx="155">
                  <c:v>5</c:v>
                </c:pt>
                <c:pt idx="156">
                  <c:v>5</c:v>
                </c:pt>
                <c:pt idx="157">
                  <c:v>32</c:v>
                </c:pt>
                <c:pt idx="158">
                  <c:v>16</c:v>
                </c:pt>
                <c:pt idx="159">
                  <c:v>13</c:v>
                </c:pt>
                <c:pt idx="160">
                  <c:v>76</c:v>
                </c:pt>
                <c:pt idx="161">
                  <c:v>23</c:v>
                </c:pt>
                <c:pt idx="162">
                  <c:v>11</c:v>
                </c:pt>
                <c:pt idx="163">
                  <c:v>30</c:v>
                </c:pt>
                <c:pt idx="164">
                  <c:v>35</c:v>
                </c:pt>
                <c:pt idx="165">
                  <c:v>21</c:v>
                </c:pt>
                <c:pt idx="166">
                  <c:v>29</c:v>
                </c:pt>
                <c:pt idx="167">
                  <c:v>27</c:v>
                </c:pt>
                <c:pt idx="168">
                  <c:v>29</c:v>
                </c:pt>
                <c:pt idx="169">
                  <c:v>31</c:v>
                </c:pt>
                <c:pt idx="170">
                  <c:v>27</c:v>
                </c:pt>
                <c:pt idx="171">
                  <c:v>34</c:v>
                </c:pt>
                <c:pt idx="172">
                  <c:v>8</c:v>
                </c:pt>
                <c:pt idx="173">
                  <c:v>33</c:v>
                </c:pt>
                <c:pt idx="174">
                  <c:v>22</c:v>
                </c:pt>
                <c:pt idx="175">
                  <c:v>5</c:v>
                </c:pt>
                <c:pt idx="176">
                  <c:v>6</c:v>
                </c:pt>
                <c:pt idx="177">
                  <c:v>14</c:v>
                </c:pt>
                <c:pt idx="178">
                  <c:v>7</c:v>
                </c:pt>
                <c:pt idx="179">
                  <c:v>35</c:v>
                </c:pt>
                <c:pt idx="180">
                  <c:v>5</c:v>
                </c:pt>
                <c:pt idx="181">
                  <c:v>18</c:v>
                </c:pt>
                <c:pt idx="182">
                  <c:v>21</c:v>
                </c:pt>
                <c:pt idx="183">
                  <c:v>26</c:v>
                </c:pt>
                <c:pt idx="184">
                  <c:v>29</c:v>
                </c:pt>
                <c:pt idx="185">
                  <c:v>14</c:v>
                </c:pt>
                <c:pt idx="186">
                  <c:v>57</c:v>
                </c:pt>
                <c:pt idx="187">
                  <c:v>12</c:v>
                </c:pt>
                <c:pt idx="188">
                  <c:v>20</c:v>
                </c:pt>
                <c:pt idx="189">
                  <c:v>25</c:v>
                </c:pt>
                <c:pt idx="190">
                  <c:v>35</c:v>
                </c:pt>
                <c:pt idx="191">
                  <c:v>32</c:v>
                </c:pt>
                <c:pt idx="192">
                  <c:v>7</c:v>
                </c:pt>
                <c:pt idx="193">
                  <c:v>16</c:v>
                </c:pt>
                <c:pt idx="194">
                  <c:v>26</c:v>
                </c:pt>
                <c:pt idx="195">
                  <c:v>66</c:v>
                </c:pt>
                <c:pt idx="196">
                  <c:v>49</c:v>
                </c:pt>
                <c:pt idx="197">
                  <c:v>5</c:v>
                </c:pt>
                <c:pt idx="198">
                  <c:v>3</c:v>
                </c:pt>
                <c:pt idx="199">
                  <c:v>24</c:v>
                </c:pt>
                <c:pt idx="200">
                  <c:v>35</c:v>
                </c:pt>
                <c:pt idx="201">
                  <c:v>18</c:v>
                </c:pt>
                <c:pt idx="202">
                  <c:v>23</c:v>
                </c:pt>
                <c:pt idx="203">
                  <c:v>32</c:v>
                </c:pt>
                <c:pt idx="204">
                  <c:v>48</c:v>
                </c:pt>
                <c:pt idx="205">
                  <c:v>77</c:v>
                </c:pt>
                <c:pt idx="206">
                  <c:v>9</c:v>
                </c:pt>
                <c:pt idx="207">
                  <c:v>13</c:v>
                </c:pt>
                <c:pt idx="208">
                  <c:v>74</c:v>
                </c:pt>
                <c:pt idx="209">
                  <c:v>30</c:v>
                </c:pt>
                <c:pt idx="210">
                  <c:v>24</c:v>
                </c:pt>
                <c:pt idx="211">
                  <c:v>27</c:v>
                </c:pt>
                <c:pt idx="212">
                  <c:v>40</c:v>
                </c:pt>
                <c:pt idx="213">
                  <c:v>11</c:v>
                </c:pt>
                <c:pt idx="214">
                  <c:v>25</c:v>
                </c:pt>
                <c:pt idx="215">
                  <c:v>35</c:v>
                </c:pt>
                <c:pt idx="216">
                  <c:v>20</c:v>
                </c:pt>
                <c:pt idx="217">
                  <c:v>30</c:v>
                </c:pt>
                <c:pt idx="218">
                  <c:v>20</c:v>
                </c:pt>
                <c:pt idx="219">
                  <c:v>10</c:v>
                </c:pt>
                <c:pt idx="220">
                  <c:v>10</c:v>
                </c:pt>
                <c:pt idx="221">
                  <c:v>28</c:v>
                </c:pt>
                <c:pt idx="222">
                  <c:v>31</c:v>
                </c:pt>
                <c:pt idx="223">
                  <c:v>10</c:v>
                </c:pt>
                <c:pt idx="224">
                  <c:v>16</c:v>
                </c:pt>
                <c:pt idx="225">
                  <c:v>10</c:v>
                </c:pt>
                <c:pt idx="226">
                  <c:v>12</c:v>
                </c:pt>
                <c:pt idx="227">
                  <c:v>4</c:v>
                </c:pt>
                <c:pt idx="228">
                  <c:v>3</c:v>
                </c:pt>
                <c:pt idx="229">
                  <c:v>27</c:v>
                </c:pt>
                <c:pt idx="230">
                  <c:v>23</c:v>
                </c:pt>
                <c:pt idx="231">
                  <c:v>25</c:v>
                </c:pt>
                <c:pt idx="232">
                  <c:v>11</c:v>
                </c:pt>
                <c:pt idx="233">
                  <c:v>22</c:v>
                </c:pt>
                <c:pt idx="234">
                  <c:v>3</c:v>
                </c:pt>
                <c:pt idx="235">
                  <c:v>5</c:v>
                </c:pt>
                <c:pt idx="236">
                  <c:v>10</c:v>
                </c:pt>
                <c:pt idx="237">
                  <c:v>14</c:v>
                </c:pt>
                <c:pt idx="238">
                  <c:v>9</c:v>
                </c:pt>
                <c:pt idx="239">
                  <c:v>11</c:v>
                </c:pt>
                <c:pt idx="240">
                  <c:v>23</c:v>
                </c:pt>
                <c:pt idx="241">
                  <c:v>22</c:v>
                </c:pt>
                <c:pt idx="242">
                  <c:v>33</c:v>
                </c:pt>
                <c:pt idx="243">
                  <c:v>21</c:v>
                </c:pt>
                <c:pt idx="244">
                  <c:v>16</c:v>
                </c:pt>
                <c:pt idx="245">
                  <c:v>11</c:v>
                </c:pt>
                <c:pt idx="246">
                  <c:v>30</c:v>
                </c:pt>
                <c:pt idx="247">
                  <c:v>5</c:v>
                </c:pt>
                <c:pt idx="248">
                  <c:v>26</c:v>
                </c:pt>
                <c:pt idx="249">
                  <c:v>18</c:v>
                </c:pt>
                <c:pt idx="250">
                  <c:v>15</c:v>
                </c:pt>
                <c:pt idx="251">
                  <c:v>9</c:v>
                </c:pt>
                <c:pt idx="252">
                  <c:v>41</c:v>
                </c:pt>
                <c:pt idx="253">
                  <c:v>19</c:v>
                </c:pt>
                <c:pt idx="254">
                  <c:v>69</c:v>
                </c:pt>
                <c:pt idx="255">
                  <c:v>71</c:v>
                </c:pt>
                <c:pt idx="256">
                  <c:v>14</c:v>
                </c:pt>
                <c:pt idx="257">
                  <c:v>16</c:v>
                </c:pt>
                <c:pt idx="258">
                  <c:v>33</c:v>
                </c:pt>
                <c:pt idx="259">
                  <c:v>20</c:v>
                </c:pt>
                <c:pt idx="260">
                  <c:v>19</c:v>
                </c:pt>
                <c:pt idx="261">
                  <c:v>57</c:v>
                </c:pt>
                <c:pt idx="262">
                  <c:v>34</c:v>
                </c:pt>
                <c:pt idx="263">
                  <c:v>2</c:v>
                </c:pt>
                <c:pt idx="264">
                  <c:v>2</c:v>
                </c:pt>
                <c:pt idx="265">
                  <c:v>27</c:v>
                </c:pt>
                <c:pt idx="266">
                  <c:v>16</c:v>
                </c:pt>
                <c:pt idx="267">
                  <c:v>28</c:v>
                </c:pt>
                <c:pt idx="268">
                  <c:v>35</c:v>
                </c:pt>
                <c:pt idx="269">
                  <c:v>34</c:v>
                </c:pt>
                <c:pt idx="270">
                  <c:v>15</c:v>
                </c:pt>
                <c:pt idx="271">
                  <c:v>10</c:v>
                </c:pt>
                <c:pt idx="272">
                  <c:v>3</c:v>
                </c:pt>
                <c:pt idx="273">
                  <c:v>6</c:v>
                </c:pt>
                <c:pt idx="274">
                  <c:v>13</c:v>
                </c:pt>
                <c:pt idx="275">
                  <c:v>26</c:v>
                </c:pt>
                <c:pt idx="276">
                  <c:v>27</c:v>
                </c:pt>
                <c:pt idx="277">
                  <c:v>29</c:v>
                </c:pt>
                <c:pt idx="278">
                  <c:v>78</c:v>
                </c:pt>
                <c:pt idx="279">
                  <c:v>30</c:v>
                </c:pt>
                <c:pt idx="280">
                  <c:v>15</c:v>
                </c:pt>
                <c:pt idx="281">
                  <c:v>22</c:v>
                </c:pt>
                <c:pt idx="282">
                  <c:v>13</c:v>
                </c:pt>
                <c:pt idx="283">
                  <c:v>22</c:v>
                </c:pt>
                <c:pt idx="284">
                  <c:v>17</c:v>
                </c:pt>
                <c:pt idx="285">
                  <c:v>28</c:v>
                </c:pt>
                <c:pt idx="286">
                  <c:v>25</c:v>
                </c:pt>
                <c:pt idx="287">
                  <c:v>6</c:v>
                </c:pt>
                <c:pt idx="288">
                  <c:v>2</c:v>
                </c:pt>
                <c:pt idx="289">
                  <c:v>15</c:v>
                </c:pt>
                <c:pt idx="290">
                  <c:v>24</c:v>
                </c:pt>
                <c:pt idx="291">
                  <c:v>15</c:v>
                </c:pt>
                <c:pt idx="292">
                  <c:v>18</c:v>
                </c:pt>
                <c:pt idx="293">
                  <c:v>17</c:v>
                </c:pt>
                <c:pt idx="294">
                  <c:v>12</c:v>
                </c:pt>
                <c:pt idx="295">
                  <c:v>5</c:v>
                </c:pt>
                <c:pt idx="296">
                  <c:v>68</c:v>
                </c:pt>
                <c:pt idx="297">
                  <c:v>70</c:v>
                </c:pt>
                <c:pt idx="298">
                  <c:v>80</c:v>
                </c:pt>
                <c:pt idx="299">
                  <c:v>35</c:v>
                </c:pt>
                <c:pt idx="300">
                  <c:v>25</c:v>
                </c:pt>
                <c:pt idx="301">
                  <c:v>4</c:v>
                </c:pt>
                <c:pt idx="302">
                  <c:v>12</c:v>
                </c:pt>
                <c:pt idx="303">
                  <c:v>4</c:v>
                </c:pt>
                <c:pt idx="304">
                  <c:v>4</c:v>
                </c:pt>
                <c:pt idx="305">
                  <c:v>21</c:v>
                </c:pt>
                <c:pt idx="306">
                  <c:v>10</c:v>
                </c:pt>
                <c:pt idx="307">
                  <c:v>29</c:v>
                </c:pt>
                <c:pt idx="308">
                  <c:v>53</c:v>
                </c:pt>
                <c:pt idx="309">
                  <c:v>13</c:v>
                </c:pt>
                <c:pt idx="310">
                  <c:v>6</c:v>
                </c:pt>
                <c:pt idx="311">
                  <c:v>25</c:v>
                </c:pt>
                <c:pt idx="312">
                  <c:v>7</c:v>
                </c:pt>
                <c:pt idx="313">
                  <c:v>22</c:v>
                </c:pt>
                <c:pt idx="314">
                  <c:v>35</c:v>
                </c:pt>
                <c:pt idx="315">
                  <c:v>6</c:v>
                </c:pt>
                <c:pt idx="316">
                  <c:v>17</c:v>
                </c:pt>
                <c:pt idx="317">
                  <c:v>23</c:v>
                </c:pt>
                <c:pt idx="318">
                  <c:v>21</c:v>
                </c:pt>
                <c:pt idx="319">
                  <c:v>20</c:v>
                </c:pt>
                <c:pt idx="320">
                  <c:v>19</c:v>
                </c:pt>
                <c:pt idx="321">
                  <c:v>13</c:v>
                </c:pt>
                <c:pt idx="322">
                  <c:v>20</c:v>
                </c:pt>
                <c:pt idx="323">
                  <c:v>18</c:v>
                </c:pt>
                <c:pt idx="324">
                  <c:v>27</c:v>
                </c:pt>
                <c:pt idx="325">
                  <c:v>7</c:v>
                </c:pt>
                <c:pt idx="326">
                  <c:v>27</c:v>
                </c:pt>
                <c:pt idx="327">
                  <c:v>35</c:v>
                </c:pt>
                <c:pt idx="328">
                  <c:v>34</c:v>
                </c:pt>
                <c:pt idx="329">
                  <c:v>11</c:v>
                </c:pt>
                <c:pt idx="330">
                  <c:v>8</c:v>
                </c:pt>
                <c:pt idx="331">
                  <c:v>23</c:v>
                </c:pt>
                <c:pt idx="332">
                  <c:v>12</c:v>
                </c:pt>
                <c:pt idx="333">
                  <c:v>29</c:v>
                </c:pt>
                <c:pt idx="334">
                  <c:v>15</c:v>
                </c:pt>
                <c:pt idx="335">
                  <c:v>25</c:v>
                </c:pt>
                <c:pt idx="336">
                  <c:v>22</c:v>
                </c:pt>
                <c:pt idx="337">
                  <c:v>13</c:v>
                </c:pt>
                <c:pt idx="338">
                  <c:v>9</c:v>
                </c:pt>
                <c:pt idx="339">
                  <c:v>10</c:v>
                </c:pt>
                <c:pt idx="340">
                  <c:v>12</c:v>
                </c:pt>
                <c:pt idx="341">
                  <c:v>2</c:v>
                </c:pt>
                <c:pt idx="342">
                  <c:v>33</c:v>
                </c:pt>
                <c:pt idx="343">
                  <c:v>4</c:v>
                </c:pt>
                <c:pt idx="344">
                  <c:v>34</c:v>
                </c:pt>
                <c:pt idx="345">
                  <c:v>4</c:v>
                </c:pt>
                <c:pt idx="346">
                  <c:v>4</c:v>
                </c:pt>
                <c:pt idx="347">
                  <c:v>24</c:v>
                </c:pt>
                <c:pt idx="348">
                  <c:v>5</c:v>
                </c:pt>
                <c:pt idx="349">
                  <c:v>19</c:v>
                </c:pt>
                <c:pt idx="350">
                  <c:v>19</c:v>
                </c:pt>
                <c:pt idx="351">
                  <c:v>27</c:v>
                </c:pt>
                <c:pt idx="352">
                  <c:v>7</c:v>
                </c:pt>
                <c:pt idx="353">
                  <c:v>7</c:v>
                </c:pt>
                <c:pt idx="354">
                  <c:v>29</c:v>
                </c:pt>
                <c:pt idx="355">
                  <c:v>10</c:v>
                </c:pt>
                <c:pt idx="356">
                  <c:v>46</c:v>
                </c:pt>
                <c:pt idx="357">
                  <c:v>10</c:v>
                </c:pt>
                <c:pt idx="358">
                  <c:v>25</c:v>
                </c:pt>
                <c:pt idx="359">
                  <c:v>7</c:v>
                </c:pt>
                <c:pt idx="360">
                  <c:v>80</c:v>
                </c:pt>
                <c:pt idx="361">
                  <c:v>6</c:v>
                </c:pt>
                <c:pt idx="362">
                  <c:v>26</c:v>
                </c:pt>
                <c:pt idx="363">
                  <c:v>12</c:v>
                </c:pt>
                <c:pt idx="364">
                  <c:v>7</c:v>
                </c:pt>
                <c:pt idx="365">
                  <c:v>10</c:v>
                </c:pt>
                <c:pt idx="366">
                  <c:v>3</c:v>
                </c:pt>
                <c:pt idx="367">
                  <c:v>27</c:v>
                </c:pt>
                <c:pt idx="368">
                  <c:v>6</c:v>
                </c:pt>
                <c:pt idx="369">
                  <c:v>25</c:v>
                </c:pt>
                <c:pt idx="370">
                  <c:v>49</c:v>
                </c:pt>
                <c:pt idx="371">
                  <c:v>34</c:v>
                </c:pt>
                <c:pt idx="372">
                  <c:v>19</c:v>
                </c:pt>
                <c:pt idx="373">
                  <c:v>6</c:v>
                </c:pt>
                <c:pt idx="374">
                  <c:v>31</c:v>
                </c:pt>
                <c:pt idx="375">
                  <c:v>2</c:v>
                </c:pt>
                <c:pt idx="376">
                  <c:v>18</c:v>
                </c:pt>
                <c:pt idx="377">
                  <c:v>29</c:v>
                </c:pt>
                <c:pt idx="378">
                  <c:v>31</c:v>
                </c:pt>
                <c:pt idx="379">
                  <c:v>8</c:v>
                </c:pt>
                <c:pt idx="380">
                  <c:v>59</c:v>
                </c:pt>
                <c:pt idx="381">
                  <c:v>28</c:v>
                </c:pt>
                <c:pt idx="382">
                  <c:v>25</c:v>
                </c:pt>
                <c:pt idx="383">
                  <c:v>6</c:v>
                </c:pt>
                <c:pt idx="384">
                  <c:v>14</c:v>
                </c:pt>
                <c:pt idx="385">
                  <c:v>17</c:v>
                </c:pt>
                <c:pt idx="386">
                  <c:v>2</c:v>
                </c:pt>
                <c:pt idx="387">
                  <c:v>33</c:v>
                </c:pt>
                <c:pt idx="388">
                  <c:v>25</c:v>
                </c:pt>
                <c:pt idx="389">
                  <c:v>5</c:v>
                </c:pt>
                <c:pt idx="390">
                  <c:v>22</c:v>
                </c:pt>
                <c:pt idx="391">
                  <c:v>11</c:v>
                </c:pt>
                <c:pt idx="392">
                  <c:v>30</c:v>
                </c:pt>
                <c:pt idx="393">
                  <c:v>4</c:v>
                </c:pt>
                <c:pt idx="394">
                  <c:v>55</c:v>
                </c:pt>
                <c:pt idx="395">
                  <c:v>17</c:v>
                </c:pt>
                <c:pt idx="396">
                  <c:v>14</c:v>
                </c:pt>
                <c:pt idx="397">
                  <c:v>6</c:v>
                </c:pt>
                <c:pt idx="398">
                  <c:v>4</c:v>
                </c:pt>
                <c:pt idx="399">
                  <c:v>3</c:v>
                </c:pt>
                <c:pt idx="400">
                  <c:v>30</c:v>
                </c:pt>
                <c:pt idx="401">
                  <c:v>5</c:v>
                </c:pt>
                <c:pt idx="402">
                  <c:v>3</c:v>
                </c:pt>
                <c:pt idx="403">
                  <c:v>34</c:v>
                </c:pt>
                <c:pt idx="404">
                  <c:v>5</c:v>
                </c:pt>
                <c:pt idx="405">
                  <c:v>17</c:v>
                </c:pt>
                <c:pt idx="406">
                  <c:v>24</c:v>
                </c:pt>
                <c:pt idx="407">
                  <c:v>3</c:v>
                </c:pt>
                <c:pt idx="408">
                  <c:v>21</c:v>
                </c:pt>
                <c:pt idx="409">
                  <c:v>75</c:v>
                </c:pt>
                <c:pt idx="410">
                  <c:v>3</c:v>
                </c:pt>
                <c:pt idx="411">
                  <c:v>25</c:v>
                </c:pt>
                <c:pt idx="412">
                  <c:v>12</c:v>
                </c:pt>
                <c:pt idx="413">
                  <c:v>24</c:v>
                </c:pt>
                <c:pt idx="414">
                  <c:v>13</c:v>
                </c:pt>
                <c:pt idx="415">
                  <c:v>13</c:v>
                </c:pt>
                <c:pt idx="416">
                  <c:v>23</c:v>
                </c:pt>
                <c:pt idx="417">
                  <c:v>23</c:v>
                </c:pt>
                <c:pt idx="418">
                  <c:v>64</c:v>
                </c:pt>
                <c:pt idx="419">
                  <c:v>26</c:v>
                </c:pt>
                <c:pt idx="420">
                  <c:v>3</c:v>
                </c:pt>
                <c:pt idx="421">
                  <c:v>6</c:v>
                </c:pt>
                <c:pt idx="422">
                  <c:v>3</c:v>
                </c:pt>
                <c:pt idx="423">
                  <c:v>23</c:v>
                </c:pt>
                <c:pt idx="424">
                  <c:v>20</c:v>
                </c:pt>
                <c:pt idx="425">
                  <c:v>5</c:v>
                </c:pt>
                <c:pt idx="426">
                  <c:v>14</c:v>
                </c:pt>
                <c:pt idx="427">
                  <c:v>21</c:v>
                </c:pt>
                <c:pt idx="428">
                  <c:v>13</c:v>
                </c:pt>
                <c:pt idx="429">
                  <c:v>18</c:v>
                </c:pt>
                <c:pt idx="430">
                  <c:v>24</c:v>
                </c:pt>
                <c:pt idx="431">
                  <c:v>32</c:v>
                </c:pt>
                <c:pt idx="432">
                  <c:v>35</c:v>
                </c:pt>
                <c:pt idx="433">
                  <c:v>15</c:v>
                </c:pt>
                <c:pt idx="434">
                  <c:v>11</c:v>
                </c:pt>
                <c:pt idx="435">
                  <c:v>26</c:v>
                </c:pt>
                <c:pt idx="436">
                  <c:v>35</c:v>
                </c:pt>
                <c:pt idx="437">
                  <c:v>8</c:v>
                </c:pt>
                <c:pt idx="438">
                  <c:v>26</c:v>
                </c:pt>
                <c:pt idx="439">
                  <c:v>57</c:v>
                </c:pt>
                <c:pt idx="440">
                  <c:v>3</c:v>
                </c:pt>
                <c:pt idx="441">
                  <c:v>10</c:v>
                </c:pt>
                <c:pt idx="442">
                  <c:v>30</c:v>
                </c:pt>
                <c:pt idx="443">
                  <c:v>68</c:v>
                </c:pt>
                <c:pt idx="444">
                  <c:v>13</c:v>
                </c:pt>
                <c:pt idx="445">
                  <c:v>14</c:v>
                </c:pt>
                <c:pt idx="446">
                  <c:v>25</c:v>
                </c:pt>
                <c:pt idx="447">
                  <c:v>24</c:v>
                </c:pt>
                <c:pt idx="448">
                  <c:v>15</c:v>
                </c:pt>
                <c:pt idx="449">
                  <c:v>3</c:v>
                </c:pt>
                <c:pt idx="450">
                  <c:v>2</c:v>
                </c:pt>
                <c:pt idx="451">
                  <c:v>26</c:v>
                </c:pt>
                <c:pt idx="452">
                  <c:v>27</c:v>
                </c:pt>
                <c:pt idx="453">
                  <c:v>8</c:v>
                </c:pt>
                <c:pt idx="454">
                  <c:v>21</c:v>
                </c:pt>
                <c:pt idx="455">
                  <c:v>22</c:v>
                </c:pt>
                <c:pt idx="456">
                  <c:v>26</c:v>
                </c:pt>
                <c:pt idx="457">
                  <c:v>32</c:v>
                </c:pt>
                <c:pt idx="458">
                  <c:v>20</c:v>
                </c:pt>
                <c:pt idx="459">
                  <c:v>23</c:v>
                </c:pt>
                <c:pt idx="460">
                  <c:v>25</c:v>
                </c:pt>
                <c:pt idx="461">
                  <c:v>6</c:v>
                </c:pt>
                <c:pt idx="462">
                  <c:v>5</c:v>
                </c:pt>
                <c:pt idx="463">
                  <c:v>11</c:v>
                </c:pt>
                <c:pt idx="464">
                  <c:v>53</c:v>
                </c:pt>
                <c:pt idx="465">
                  <c:v>29</c:v>
                </c:pt>
                <c:pt idx="466">
                  <c:v>14</c:v>
                </c:pt>
                <c:pt idx="467">
                  <c:v>2</c:v>
                </c:pt>
                <c:pt idx="468">
                  <c:v>26</c:v>
                </c:pt>
                <c:pt idx="469">
                  <c:v>35</c:v>
                </c:pt>
                <c:pt idx="470">
                  <c:v>24</c:v>
                </c:pt>
                <c:pt idx="471">
                  <c:v>3</c:v>
                </c:pt>
                <c:pt idx="472">
                  <c:v>18</c:v>
                </c:pt>
                <c:pt idx="473">
                  <c:v>43</c:v>
                </c:pt>
                <c:pt idx="474">
                  <c:v>11</c:v>
                </c:pt>
                <c:pt idx="475">
                  <c:v>10</c:v>
                </c:pt>
                <c:pt idx="476">
                  <c:v>14</c:v>
                </c:pt>
                <c:pt idx="477">
                  <c:v>33</c:v>
                </c:pt>
                <c:pt idx="478">
                  <c:v>33</c:v>
                </c:pt>
                <c:pt idx="479">
                  <c:v>16</c:v>
                </c:pt>
                <c:pt idx="480">
                  <c:v>20</c:v>
                </c:pt>
                <c:pt idx="481">
                  <c:v>10</c:v>
                </c:pt>
                <c:pt idx="482">
                  <c:v>7</c:v>
                </c:pt>
                <c:pt idx="483">
                  <c:v>26</c:v>
                </c:pt>
                <c:pt idx="484">
                  <c:v>5</c:v>
                </c:pt>
                <c:pt idx="485">
                  <c:v>30</c:v>
                </c:pt>
                <c:pt idx="486">
                  <c:v>33</c:v>
                </c:pt>
                <c:pt idx="487">
                  <c:v>35</c:v>
                </c:pt>
                <c:pt idx="488">
                  <c:v>35</c:v>
                </c:pt>
                <c:pt idx="489">
                  <c:v>26</c:v>
                </c:pt>
                <c:pt idx="490">
                  <c:v>33</c:v>
                </c:pt>
                <c:pt idx="491">
                  <c:v>34</c:v>
                </c:pt>
                <c:pt idx="492">
                  <c:v>30</c:v>
                </c:pt>
                <c:pt idx="493">
                  <c:v>27</c:v>
                </c:pt>
                <c:pt idx="494">
                  <c:v>21</c:v>
                </c:pt>
                <c:pt idx="495">
                  <c:v>5</c:v>
                </c:pt>
                <c:pt idx="496">
                  <c:v>25</c:v>
                </c:pt>
                <c:pt idx="497">
                  <c:v>20</c:v>
                </c:pt>
                <c:pt idx="498">
                  <c:v>28</c:v>
                </c:pt>
                <c:pt idx="499">
                  <c:v>31</c:v>
                </c:pt>
                <c:pt idx="500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62417519"/>
        <c:axId val="593568083"/>
      </c:barChart>
      <c:catAx>
        <c:axId val="86241751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altLang="en-US"/>
                  <a:t>PRODUCT</a:t>
                </a:r>
                <a:endParaRPr lang="en-ZA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3568083"/>
        <c:crosses val="autoZero"/>
        <c:auto val="1"/>
        <c:lblAlgn val="ctr"/>
        <c:lblOffset val="100"/>
        <c:noMultiLvlLbl val="0"/>
      </c:catAx>
      <c:valAx>
        <c:axId val="5935680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altLang="en-US"/>
                  <a:t>QUANTITY</a:t>
                </a:r>
                <a:endParaRPr lang="en-ZA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241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e9705de-6a75-4512-a96a-e4e23c75b9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180975</xdr:colOff>
      <xdr:row>0</xdr:row>
      <xdr:rowOff>66040</xdr:rowOff>
    </xdr:from>
    <xdr:to>
      <xdr:col>15</xdr:col>
      <xdr:colOff>292100</xdr:colOff>
      <xdr:row>15</xdr:row>
      <xdr:rowOff>219075</xdr:rowOff>
    </xdr:to>
    <xdr:graphicFrame>
      <xdr:nvGraphicFramePr>
        <xdr:cNvPr id="3" name="Chart 2"/>
        <xdr:cNvGraphicFramePr/>
      </xdr:nvGraphicFramePr>
      <xdr:xfrm>
        <a:off x="4953000" y="66040"/>
        <a:ext cx="8416925" cy="3629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410210</xdr:colOff>
      <xdr:row>3</xdr:row>
      <xdr:rowOff>123825</xdr:rowOff>
    </xdr:from>
    <xdr:to>
      <xdr:col>18</xdr:col>
      <xdr:colOff>577850</xdr:colOff>
      <xdr:row>23</xdr:row>
      <xdr:rowOff>19685</xdr:rowOff>
    </xdr:to>
    <xdr:graphicFrame>
      <xdr:nvGraphicFramePr>
        <xdr:cNvPr id="2" name="Chart 1"/>
        <xdr:cNvGraphicFramePr/>
      </xdr:nvGraphicFramePr>
      <xdr:xfrm>
        <a:off x="4067810" y="695325"/>
        <a:ext cx="7482840" cy="3705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2:M502" totalsRowShown="0">
  <autoFilter xmlns:etc="http://www.wps.cn/officeDocument/2017/etCustomData" ref="A2:M502" etc:filterBottomFollowUsedRange="0"/>
  <tableColumns count="13">
    <tableColumn id="1" name="Order ID"/>
    <tableColumn id="2" name="Order Date" dataDxfId="0"/>
    <tableColumn id="3" name="Salesperson"/>
    <tableColumn id="4" name="Customer"/>
    <tableColumn id="5" name="Customer Type"/>
    <tableColumn id="6" name="Region"/>
    <tableColumn id="7" name="Product"/>
    <tableColumn id="8" name="Category"/>
    <tableColumn id="9" name="Quantity" dataDxfId="1"/>
    <tableColumn id="10" name="Unit Price" dataDxfId="2"/>
    <tableColumn id="11" name="Payment Status"/>
    <tableColumn id="12" name="Delivery Status"/>
    <tableColumn id="13" name="Order Value" dataDxfId="3">
      <calculatedColumnFormula>I3*J3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1"/>
  <sheetViews>
    <sheetView workbookViewId="0">
      <selection activeCell="X473" sqref="X473"/>
    </sheetView>
  </sheetViews>
  <sheetFormatPr defaultColWidth="9" defaultRowHeight="15"/>
  <sheetData>
    <row r="1" spans="1:12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</row>
    <row r="2" spans="1:12">
      <c r="A2" t="s">
        <v>12</v>
      </c>
      <c r="B2" s="40">
        <v>46221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19</v>
      </c>
      <c r="J2">
        <v>260</v>
      </c>
      <c r="K2" t="s">
        <v>19</v>
      </c>
      <c r="L2" t="s">
        <v>20</v>
      </c>
    </row>
    <row r="3" spans="1:12">
      <c r="A3" t="s">
        <v>21</v>
      </c>
      <c r="B3" s="40">
        <v>46231</v>
      </c>
      <c r="C3" t="s">
        <v>22</v>
      </c>
      <c r="D3" t="s">
        <v>14</v>
      </c>
      <c r="E3" t="s">
        <v>15</v>
      </c>
      <c r="F3" t="s">
        <v>16</v>
      </c>
      <c r="G3" t="s">
        <v>23</v>
      </c>
      <c r="H3" t="s">
        <v>18</v>
      </c>
      <c r="I3">
        <v>41</v>
      </c>
      <c r="J3">
        <v>175</v>
      </c>
      <c r="K3" t="s">
        <v>19</v>
      </c>
      <c r="L3" t="s">
        <v>24</v>
      </c>
    </row>
    <row r="4" spans="1:12">
      <c r="A4" t="s">
        <v>25</v>
      </c>
      <c r="B4" s="40">
        <v>46279</v>
      </c>
      <c r="C4" t="s">
        <v>26</v>
      </c>
      <c r="D4" t="s">
        <v>27</v>
      </c>
      <c r="E4" t="s">
        <v>15</v>
      </c>
      <c r="F4" t="s">
        <v>28</v>
      </c>
      <c r="G4" t="s">
        <v>29</v>
      </c>
      <c r="H4" t="s">
        <v>30</v>
      </c>
      <c r="I4">
        <v>28</v>
      </c>
      <c r="J4">
        <v>26</v>
      </c>
      <c r="K4" t="s">
        <v>20</v>
      </c>
      <c r="L4" t="s">
        <v>24</v>
      </c>
    </row>
    <row r="5" spans="1:12">
      <c r="A5" t="s">
        <v>31</v>
      </c>
      <c r="B5" s="40">
        <v>46223</v>
      </c>
      <c r="C5" t="s">
        <v>22</v>
      </c>
      <c r="D5" t="s">
        <v>32</v>
      </c>
      <c r="E5" t="s">
        <v>33</v>
      </c>
      <c r="F5" t="s">
        <v>16</v>
      </c>
      <c r="G5" t="s">
        <v>29</v>
      </c>
      <c r="H5" t="s">
        <v>30</v>
      </c>
      <c r="I5">
        <v>29</v>
      </c>
      <c r="J5">
        <v>26</v>
      </c>
      <c r="K5" t="s">
        <v>20</v>
      </c>
      <c r="L5" t="s">
        <v>24</v>
      </c>
    </row>
    <row r="6" spans="1:12">
      <c r="A6" t="s">
        <v>34</v>
      </c>
      <c r="B6" s="40">
        <v>46248</v>
      </c>
      <c r="C6" t="s">
        <v>26</v>
      </c>
      <c r="D6" t="s">
        <v>14</v>
      </c>
      <c r="E6" t="s">
        <v>15</v>
      </c>
      <c r="F6" t="s">
        <v>16</v>
      </c>
      <c r="G6" t="s">
        <v>35</v>
      </c>
      <c r="H6" t="s">
        <v>30</v>
      </c>
      <c r="I6">
        <v>8</v>
      </c>
      <c r="J6">
        <v>210</v>
      </c>
      <c r="K6" t="s">
        <v>20</v>
      </c>
      <c r="L6" t="s">
        <v>20</v>
      </c>
    </row>
    <row r="7" spans="1:12">
      <c r="A7" t="s">
        <v>36</v>
      </c>
      <c r="B7" s="40">
        <v>46284</v>
      </c>
      <c r="C7" t="s">
        <v>26</v>
      </c>
      <c r="D7" t="s">
        <v>37</v>
      </c>
      <c r="E7" t="s">
        <v>33</v>
      </c>
      <c r="F7" t="s">
        <v>16</v>
      </c>
      <c r="G7" t="s">
        <v>17</v>
      </c>
      <c r="H7" t="s">
        <v>18</v>
      </c>
      <c r="I7">
        <v>54</v>
      </c>
      <c r="J7">
        <v>260</v>
      </c>
      <c r="K7" t="s">
        <v>19</v>
      </c>
      <c r="L7" t="s">
        <v>20</v>
      </c>
    </row>
    <row r="8" spans="1:12">
      <c r="A8" t="s">
        <v>38</v>
      </c>
      <c r="B8" s="40">
        <v>46214</v>
      </c>
      <c r="C8" t="s">
        <v>22</v>
      </c>
      <c r="D8" t="s">
        <v>39</v>
      </c>
      <c r="E8" t="s">
        <v>15</v>
      </c>
      <c r="F8" t="s">
        <v>40</v>
      </c>
      <c r="G8" t="s">
        <v>29</v>
      </c>
      <c r="H8" t="s">
        <v>30</v>
      </c>
      <c r="I8">
        <v>16</v>
      </c>
      <c r="J8">
        <v>26</v>
      </c>
      <c r="K8" t="s">
        <v>20</v>
      </c>
      <c r="L8" t="s">
        <v>24</v>
      </c>
    </row>
    <row r="9" spans="1:12">
      <c r="A9" t="s">
        <v>41</v>
      </c>
      <c r="B9" s="40">
        <v>46249</v>
      </c>
      <c r="C9" t="s">
        <v>22</v>
      </c>
      <c r="D9" t="s">
        <v>42</v>
      </c>
      <c r="E9" t="s">
        <v>15</v>
      </c>
      <c r="F9" t="s">
        <v>40</v>
      </c>
      <c r="G9" t="s">
        <v>29</v>
      </c>
      <c r="H9" t="s">
        <v>30</v>
      </c>
      <c r="I9">
        <v>25</v>
      </c>
      <c r="J9">
        <v>26</v>
      </c>
      <c r="K9" t="s">
        <v>19</v>
      </c>
      <c r="L9" t="s">
        <v>20</v>
      </c>
    </row>
    <row r="10" spans="1:12">
      <c r="A10" t="s">
        <v>43</v>
      </c>
      <c r="B10" s="40">
        <v>46235</v>
      </c>
      <c r="C10" t="s">
        <v>22</v>
      </c>
      <c r="D10" t="s">
        <v>14</v>
      </c>
      <c r="E10" t="s">
        <v>15</v>
      </c>
      <c r="F10" t="s">
        <v>16</v>
      </c>
      <c r="G10" t="s">
        <v>23</v>
      </c>
      <c r="H10" t="s">
        <v>18</v>
      </c>
      <c r="I10">
        <v>12</v>
      </c>
      <c r="J10">
        <v>175</v>
      </c>
      <c r="K10" t="s">
        <v>19</v>
      </c>
      <c r="L10" t="s">
        <v>24</v>
      </c>
    </row>
    <row r="11" spans="1:12">
      <c r="A11" t="s">
        <v>44</v>
      </c>
      <c r="B11" s="40">
        <v>46211</v>
      </c>
      <c r="C11" t="s">
        <v>22</v>
      </c>
      <c r="D11" t="s">
        <v>37</v>
      </c>
      <c r="E11" t="s">
        <v>33</v>
      </c>
      <c r="F11" t="s">
        <v>16</v>
      </c>
      <c r="G11" t="s">
        <v>45</v>
      </c>
      <c r="H11" t="s">
        <v>18</v>
      </c>
      <c r="I11">
        <v>22</v>
      </c>
      <c r="J11">
        <v>185</v>
      </c>
      <c r="K11" t="s">
        <v>20</v>
      </c>
      <c r="L11" t="s">
        <v>20</v>
      </c>
    </row>
    <row r="12" spans="1:12">
      <c r="A12" t="s">
        <v>46</v>
      </c>
      <c r="B12" s="40">
        <v>46276</v>
      </c>
      <c r="C12" t="s">
        <v>26</v>
      </c>
      <c r="D12" t="s">
        <v>47</v>
      </c>
      <c r="E12" t="s">
        <v>48</v>
      </c>
      <c r="F12" t="s">
        <v>16</v>
      </c>
      <c r="G12" t="s">
        <v>49</v>
      </c>
      <c r="H12" t="s">
        <v>18</v>
      </c>
      <c r="I12">
        <v>6</v>
      </c>
      <c r="J12">
        <v>145</v>
      </c>
      <c r="K12" t="s">
        <v>19</v>
      </c>
      <c r="L12" t="s">
        <v>24</v>
      </c>
    </row>
    <row r="13" spans="1:12">
      <c r="A13" t="s">
        <v>50</v>
      </c>
      <c r="B13" s="40">
        <v>46275</v>
      </c>
      <c r="C13" t="s">
        <v>26</v>
      </c>
      <c r="D13" t="s">
        <v>42</v>
      </c>
      <c r="E13" t="s">
        <v>15</v>
      </c>
      <c r="F13" t="s">
        <v>40</v>
      </c>
      <c r="G13" t="s">
        <v>45</v>
      </c>
      <c r="H13" t="s">
        <v>18</v>
      </c>
      <c r="I13">
        <v>18</v>
      </c>
      <c r="J13">
        <v>185</v>
      </c>
      <c r="K13" t="s">
        <v>20</v>
      </c>
      <c r="L13" t="s">
        <v>24</v>
      </c>
    </row>
    <row r="14" spans="1:12">
      <c r="A14" t="s">
        <v>51</v>
      </c>
      <c r="B14" s="40">
        <v>46221</v>
      </c>
      <c r="C14" t="s">
        <v>52</v>
      </c>
      <c r="D14" t="s">
        <v>53</v>
      </c>
      <c r="E14" t="s">
        <v>48</v>
      </c>
      <c r="F14" t="s">
        <v>28</v>
      </c>
      <c r="G14" t="s">
        <v>35</v>
      </c>
      <c r="H14" t="s">
        <v>30</v>
      </c>
      <c r="I14">
        <v>25</v>
      </c>
      <c r="J14">
        <v>210</v>
      </c>
      <c r="K14" t="s">
        <v>19</v>
      </c>
      <c r="L14" t="s">
        <v>24</v>
      </c>
    </row>
    <row r="15" spans="1:12">
      <c r="A15" t="s">
        <v>54</v>
      </c>
      <c r="B15" s="40">
        <v>46258</v>
      </c>
      <c r="C15" t="s">
        <v>13</v>
      </c>
      <c r="D15" t="s">
        <v>14</v>
      </c>
      <c r="E15" t="s">
        <v>15</v>
      </c>
      <c r="F15" t="s">
        <v>16</v>
      </c>
      <c r="G15" t="s">
        <v>45</v>
      </c>
      <c r="H15" t="s">
        <v>18</v>
      </c>
      <c r="I15">
        <v>12</v>
      </c>
      <c r="J15">
        <v>185</v>
      </c>
      <c r="K15" t="s">
        <v>19</v>
      </c>
      <c r="L15" t="s">
        <v>24</v>
      </c>
    </row>
    <row r="16" spans="1:12">
      <c r="A16" t="s">
        <v>55</v>
      </c>
      <c r="B16" s="40">
        <v>46205</v>
      </c>
      <c r="C16" t="s">
        <v>13</v>
      </c>
      <c r="D16" t="s">
        <v>42</v>
      </c>
      <c r="E16" t="s">
        <v>15</v>
      </c>
      <c r="F16" t="s">
        <v>40</v>
      </c>
      <c r="G16" t="s">
        <v>23</v>
      </c>
      <c r="H16" t="s">
        <v>18</v>
      </c>
      <c r="I16">
        <v>18</v>
      </c>
      <c r="J16">
        <v>175</v>
      </c>
      <c r="K16" t="s">
        <v>19</v>
      </c>
      <c r="L16" t="s">
        <v>24</v>
      </c>
    </row>
    <row r="17" spans="1:12">
      <c r="A17" t="s">
        <v>56</v>
      </c>
      <c r="B17" s="40">
        <v>46259</v>
      </c>
      <c r="C17" t="s">
        <v>22</v>
      </c>
      <c r="D17" t="s">
        <v>57</v>
      </c>
      <c r="E17" t="s">
        <v>15</v>
      </c>
      <c r="F17" t="s">
        <v>40</v>
      </c>
      <c r="G17" t="s">
        <v>29</v>
      </c>
      <c r="H17" t="s">
        <v>30</v>
      </c>
      <c r="I17">
        <v>23</v>
      </c>
      <c r="J17">
        <v>26</v>
      </c>
      <c r="K17" t="s">
        <v>19</v>
      </c>
      <c r="L17" t="s">
        <v>58</v>
      </c>
    </row>
    <row r="18" spans="1:12">
      <c r="A18" t="s">
        <v>59</v>
      </c>
      <c r="B18" s="40">
        <v>46217</v>
      </c>
      <c r="C18" t="s">
        <v>26</v>
      </c>
      <c r="D18" t="s">
        <v>57</v>
      </c>
      <c r="E18" t="s">
        <v>15</v>
      </c>
      <c r="F18" t="s">
        <v>40</v>
      </c>
      <c r="G18" t="s">
        <v>23</v>
      </c>
      <c r="H18" t="s">
        <v>18</v>
      </c>
      <c r="I18">
        <v>13</v>
      </c>
      <c r="J18">
        <v>175</v>
      </c>
      <c r="K18" t="s">
        <v>20</v>
      </c>
      <c r="L18" t="s">
        <v>24</v>
      </c>
    </row>
    <row r="19" spans="1:12">
      <c r="A19" t="s">
        <v>60</v>
      </c>
      <c r="B19" s="40">
        <v>46273</v>
      </c>
      <c r="C19" t="s">
        <v>13</v>
      </c>
      <c r="D19" t="s">
        <v>27</v>
      </c>
      <c r="E19" t="s">
        <v>15</v>
      </c>
      <c r="F19" t="s">
        <v>28</v>
      </c>
      <c r="G19" t="s">
        <v>45</v>
      </c>
      <c r="H19" t="s">
        <v>18</v>
      </c>
      <c r="I19">
        <v>25</v>
      </c>
      <c r="J19">
        <v>185</v>
      </c>
      <c r="K19" t="s">
        <v>19</v>
      </c>
      <c r="L19" t="s">
        <v>24</v>
      </c>
    </row>
    <row r="20" spans="1:12">
      <c r="A20" t="s">
        <v>61</v>
      </c>
      <c r="B20" s="40">
        <v>46234</v>
      </c>
      <c r="C20" t="s">
        <v>13</v>
      </c>
      <c r="D20" t="s">
        <v>14</v>
      </c>
      <c r="E20" t="s">
        <v>15</v>
      </c>
      <c r="F20" t="s">
        <v>16</v>
      </c>
      <c r="G20" t="s">
        <v>49</v>
      </c>
      <c r="H20" t="s">
        <v>18</v>
      </c>
      <c r="I20">
        <v>21</v>
      </c>
      <c r="J20">
        <v>145</v>
      </c>
      <c r="K20" t="s">
        <v>19</v>
      </c>
      <c r="L20" t="s">
        <v>24</v>
      </c>
    </row>
    <row r="21" spans="1:12">
      <c r="A21" t="s">
        <v>62</v>
      </c>
      <c r="B21" s="40">
        <v>46264</v>
      </c>
      <c r="C21" t="s">
        <v>22</v>
      </c>
      <c r="D21" t="s">
        <v>14</v>
      </c>
      <c r="E21" t="s">
        <v>15</v>
      </c>
      <c r="F21" t="s">
        <v>16</v>
      </c>
      <c r="G21" t="s">
        <v>23</v>
      </c>
      <c r="H21" t="s">
        <v>18</v>
      </c>
      <c r="I21">
        <v>10</v>
      </c>
      <c r="J21">
        <v>175</v>
      </c>
      <c r="K21" t="s">
        <v>19</v>
      </c>
      <c r="L21" t="s">
        <v>20</v>
      </c>
    </row>
    <row r="22" spans="1:12">
      <c r="A22" t="s">
        <v>63</v>
      </c>
      <c r="B22" s="40">
        <v>46255</v>
      </c>
      <c r="C22" t="s">
        <v>26</v>
      </c>
      <c r="D22" t="s">
        <v>47</v>
      </c>
      <c r="E22" t="s">
        <v>48</v>
      </c>
      <c r="F22" t="s">
        <v>16</v>
      </c>
      <c r="G22" t="s">
        <v>45</v>
      </c>
      <c r="H22" t="s">
        <v>18</v>
      </c>
      <c r="I22">
        <v>14</v>
      </c>
      <c r="J22">
        <v>185</v>
      </c>
      <c r="K22" t="s">
        <v>19</v>
      </c>
      <c r="L22" t="s">
        <v>24</v>
      </c>
    </row>
    <row r="23" spans="1:12">
      <c r="A23" t="s">
        <v>64</v>
      </c>
      <c r="B23" s="40">
        <v>46279</v>
      </c>
      <c r="C23" t="s">
        <v>22</v>
      </c>
      <c r="D23" t="s">
        <v>14</v>
      </c>
      <c r="E23" t="s">
        <v>15</v>
      </c>
      <c r="F23" t="s">
        <v>16</v>
      </c>
      <c r="G23" t="s">
        <v>45</v>
      </c>
      <c r="H23" t="s">
        <v>18</v>
      </c>
      <c r="I23">
        <v>37</v>
      </c>
      <c r="J23">
        <v>185</v>
      </c>
      <c r="K23" t="s">
        <v>19</v>
      </c>
      <c r="L23" t="s">
        <v>24</v>
      </c>
    </row>
    <row r="24" spans="1:12">
      <c r="A24" t="s">
        <v>65</v>
      </c>
      <c r="B24" s="40">
        <v>46246</v>
      </c>
      <c r="C24" t="s">
        <v>13</v>
      </c>
      <c r="D24" t="s">
        <v>39</v>
      </c>
      <c r="E24" t="s">
        <v>15</v>
      </c>
      <c r="F24" t="s">
        <v>40</v>
      </c>
      <c r="G24" t="s">
        <v>45</v>
      </c>
      <c r="H24" t="s">
        <v>18</v>
      </c>
      <c r="I24">
        <v>6</v>
      </c>
      <c r="J24">
        <v>185</v>
      </c>
      <c r="K24" t="s">
        <v>19</v>
      </c>
      <c r="L24" t="s">
        <v>24</v>
      </c>
    </row>
    <row r="25" spans="1:12">
      <c r="A25" t="s">
        <v>66</v>
      </c>
      <c r="B25" s="40">
        <v>46277</v>
      </c>
      <c r="C25" t="s">
        <v>52</v>
      </c>
      <c r="D25" t="s">
        <v>42</v>
      </c>
      <c r="E25" t="s">
        <v>15</v>
      </c>
      <c r="F25" t="s">
        <v>40</v>
      </c>
      <c r="G25" t="s">
        <v>45</v>
      </c>
      <c r="H25" t="s">
        <v>18</v>
      </c>
      <c r="I25">
        <v>10</v>
      </c>
      <c r="J25">
        <v>185</v>
      </c>
      <c r="K25" t="s">
        <v>19</v>
      </c>
      <c r="L25" t="s">
        <v>24</v>
      </c>
    </row>
    <row r="26" spans="1:12">
      <c r="A26" t="s">
        <v>67</v>
      </c>
      <c r="B26" s="40">
        <v>46259</v>
      </c>
      <c r="C26" t="s">
        <v>26</v>
      </c>
      <c r="D26" t="s">
        <v>47</v>
      </c>
      <c r="E26" t="s">
        <v>48</v>
      </c>
      <c r="F26" t="s">
        <v>16</v>
      </c>
      <c r="G26" t="s">
        <v>45</v>
      </c>
      <c r="H26" t="s">
        <v>18</v>
      </c>
      <c r="I26">
        <v>8</v>
      </c>
      <c r="J26">
        <v>185</v>
      </c>
      <c r="K26" t="s">
        <v>19</v>
      </c>
      <c r="L26" t="s">
        <v>24</v>
      </c>
    </row>
    <row r="27" spans="1:12">
      <c r="A27" t="s">
        <v>68</v>
      </c>
      <c r="B27" s="40">
        <v>46217</v>
      </c>
      <c r="C27" t="s">
        <v>22</v>
      </c>
      <c r="D27" t="s">
        <v>39</v>
      </c>
      <c r="E27" t="s">
        <v>15</v>
      </c>
      <c r="F27" t="s">
        <v>40</v>
      </c>
      <c r="G27" t="s">
        <v>29</v>
      </c>
      <c r="H27" t="s">
        <v>30</v>
      </c>
      <c r="I27">
        <v>57</v>
      </c>
      <c r="J27">
        <v>26</v>
      </c>
      <c r="K27" t="s">
        <v>19</v>
      </c>
      <c r="L27" t="s">
        <v>24</v>
      </c>
    </row>
    <row r="28" spans="1:12">
      <c r="A28" t="s">
        <v>69</v>
      </c>
      <c r="B28" s="40">
        <v>46235</v>
      </c>
      <c r="C28" t="s">
        <v>13</v>
      </c>
      <c r="D28" t="s">
        <v>32</v>
      </c>
      <c r="E28" t="s">
        <v>33</v>
      </c>
      <c r="F28" t="s">
        <v>16</v>
      </c>
      <c r="G28" t="s">
        <v>35</v>
      </c>
      <c r="H28" t="s">
        <v>30</v>
      </c>
      <c r="I28">
        <v>13</v>
      </c>
      <c r="J28">
        <v>210</v>
      </c>
      <c r="K28" t="s">
        <v>19</v>
      </c>
      <c r="L28" t="s">
        <v>20</v>
      </c>
    </row>
    <row r="29" spans="1:12">
      <c r="A29" t="s">
        <v>70</v>
      </c>
      <c r="B29" s="40">
        <v>46273</v>
      </c>
      <c r="C29" t="s">
        <v>13</v>
      </c>
      <c r="D29" t="s">
        <v>37</v>
      </c>
      <c r="E29" t="s">
        <v>33</v>
      </c>
      <c r="F29" t="s">
        <v>16</v>
      </c>
      <c r="G29" t="s">
        <v>17</v>
      </c>
      <c r="H29" t="s">
        <v>18</v>
      </c>
      <c r="I29">
        <v>5</v>
      </c>
      <c r="J29">
        <v>260</v>
      </c>
      <c r="K29" t="s">
        <v>20</v>
      </c>
      <c r="L29" t="s">
        <v>58</v>
      </c>
    </row>
    <row r="30" spans="1:12">
      <c r="A30" t="s">
        <v>71</v>
      </c>
      <c r="B30" s="40">
        <v>46231</v>
      </c>
      <c r="C30" t="s">
        <v>52</v>
      </c>
      <c r="D30" t="s">
        <v>27</v>
      </c>
      <c r="E30" t="s">
        <v>15</v>
      </c>
      <c r="F30" t="s">
        <v>28</v>
      </c>
      <c r="G30" t="s">
        <v>45</v>
      </c>
      <c r="H30" t="s">
        <v>18</v>
      </c>
      <c r="I30">
        <v>28</v>
      </c>
      <c r="J30">
        <v>185</v>
      </c>
      <c r="K30" t="s">
        <v>20</v>
      </c>
      <c r="L30" t="s">
        <v>24</v>
      </c>
    </row>
    <row r="31" spans="1:12">
      <c r="A31" t="s">
        <v>72</v>
      </c>
      <c r="B31" s="40">
        <v>46262</v>
      </c>
      <c r="C31" t="s">
        <v>26</v>
      </c>
      <c r="D31" t="s">
        <v>39</v>
      </c>
      <c r="E31" t="s">
        <v>15</v>
      </c>
      <c r="F31" t="s">
        <v>40</v>
      </c>
      <c r="G31" t="s">
        <v>35</v>
      </c>
      <c r="H31" t="s">
        <v>30</v>
      </c>
      <c r="I31">
        <v>18</v>
      </c>
      <c r="J31">
        <v>210</v>
      </c>
      <c r="K31" t="s">
        <v>19</v>
      </c>
      <c r="L31" t="s">
        <v>58</v>
      </c>
    </row>
    <row r="32" spans="1:12">
      <c r="A32" t="s">
        <v>73</v>
      </c>
      <c r="B32" s="40">
        <v>46241</v>
      </c>
      <c r="C32" t="s">
        <v>22</v>
      </c>
      <c r="D32" t="s">
        <v>37</v>
      </c>
      <c r="E32" t="s">
        <v>33</v>
      </c>
      <c r="F32" t="s">
        <v>16</v>
      </c>
      <c r="G32" t="s">
        <v>29</v>
      </c>
      <c r="H32" t="s">
        <v>30</v>
      </c>
      <c r="I32">
        <v>33</v>
      </c>
      <c r="J32">
        <v>26</v>
      </c>
      <c r="K32" t="s">
        <v>20</v>
      </c>
      <c r="L32" t="s">
        <v>24</v>
      </c>
    </row>
    <row r="33" spans="1:12">
      <c r="A33" t="s">
        <v>74</v>
      </c>
      <c r="B33" s="40">
        <v>46265</v>
      </c>
      <c r="C33" t="s">
        <v>22</v>
      </c>
      <c r="D33" t="s">
        <v>37</v>
      </c>
      <c r="E33" t="s">
        <v>33</v>
      </c>
      <c r="F33" t="s">
        <v>16</v>
      </c>
      <c r="G33" t="s">
        <v>17</v>
      </c>
      <c r="H33" t="s">
        <v>18</v>
      </c>
      <c r="I33">
        <v>73</v>
      </c>
      <c r="J33">
        <v>260</v>
      </c>
      <c r="K33" t="s">
        <v>19</v>
      </c>
      <c r="L33" t="s">
        <v>24</v>
      </c>
    </row>
    <row r="34" spans="1:12">
      <c r="A34" t="s">
        <v>75</v>
      </c>
      <c r="B34" s="40">
        <v>46234</v>
      </c>
      <c r="C34" t="s">
        <v>52</v>
      </c>
      <c r="D34" t="s">
        <v>32</v>
      </c>
      <c r="E34" t="s">
        <v>33</v>
      </c>
      <c r="F34" t="s">
        <v>16</v>
      </c>
      <c r="G34" t="s">
        <v>17</v>
      </c>
      <c r="H34" t="s">
        <v>18</v>
      </c>
      <c r="I34">
        <v>6</v>
      </c>
      <c r="J34">
        <v>260</v>
      </c>
      <c r="K34" t="s">
        <v>19</v>
      </c>
      <c r="L34" t="s">
        <v>20</v>
      </c>
    </row>
    <row r="35" spans="1:12">
      <c r="A35" t="s">
        <v>76</v>
      </c>
      <c r="B35" s="40">
        <v>46257</v>
      </c>
      <c r="C35" t="s">
        <v>26</v>
      </c>
      <c r="D35" t="s">
        <v>27</v>
      </c>
      <c r="E35" t="s">
        <v>15</v>
      </c>
      <c r="F35" t="s">
        <v>28</v>
      </c>
      <c r="G35" t="s">
        <v>23</v>
      </c>
      <c r="H35" t="s">
        <v>18</v>
      </c>
      <c r="I35">
        <v>4</v>
      </c>
      <c r="J35">
        <v>175</v>
      </c>
      <c r="K35" t="s">
        <v>20</v>
      </c>
      <c r="L35" t="s">
        <v>24</v>
      </c>
    </row>
    <row r="36" spans="1:12">
      <c r="A36" t="s">
        <v>77</v>
      </c>
      <c r="B36" s="40">
        <v>46289</v>
      </c>
      <c r="C36" t="s">
        <v>26</v>
      </c>
      <c r="D36" t="s">
        <v>78</v>
      </c>
      <c r="E36" t="s">
        <v>48</v>
      </c>
      <c r="F36" t="s">
        <v>28</v>
      </c>
      <c r="G36" t="s">
        <v>45</v>
      </c>
      <c r="H36" t="s">
        <v>18</v>
      </c>
      <c r="I36">
        <v>18</v>
      </c>
      <c r="J36">
        <v>185</v>
      </c>
      <c r="K36" t="s">
        <v>19</v>
      </c>
      <c r="L36" t="s">
        <v>58</v>
      </c>
    </row>
    <row r="37" spans="1:12">
      <c r="A37" t="s">
        <v>79</v>
      </c>
      <c r="B37" s="40">
        <v>46276</v>
      </c>
      <c r="C37" t="s">
        <v>13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>
        <v>31</v>
      </c>
      <c r="J37">
        <v>260</v>
      </c>
      <c r="K37" t="s">
        <v>19</v>
      </c>
      <c r="L37" t="s">
        <v>24</v>
      </c>
    </row>
    <row r="38" spans="1:12">
      <c r="A38" t="s">
        <v>80</v>
      </c>
      <c r="B38" s="40">
        <v>46235</v>
      </c>
      <c r="C38" t="s">
        <v>26</v>
      </c>
      <c r="D38" t="s">
        <v>57</v>
      </c>
      <c r="E38" t="s">
        <v>15</v>
      </c>
      <c r="F38" t="s">
        <v>40</v>
      </c>
      <c r="G38" t="s">
        <v>45</v>
      </c>
      <c r="H38" t="s">
        <v>18</v>
      </c>
      <c r="I38">
        <v>24</v>
      </c>
      <c r="J38">
        <v>185</v>
      </c>
      <c r="K38" t="s">
        <v>19</v>
      </c>
      <c r="L38" t="s">
        <v>24</v>
      </c>
    </row>
    <row r="39" spans="1:12">
      <c r="A39" t="s">
        <v>81</v>
      </c>
      <c r="B39" s="40">
        <v>46287</v>
      </c>
      <c r="C39" t="s">
        <v>13</v>
      </c>
      <c r="D39" t="s">
        <v>37</v>
      </c>
      <c r="E39" t="s">
        <v>33</v>
      </c>
      <c r="F39" t="s">
        <v>16</v>
      </c>
      <c r="G39" t="s">
        <v>29</v>
      </c>
      <c r="H39" t="s">
        <v>30</v>
      </c>
      <c r="I39">
        <v>21</v>
      </c>
      <c r="J39">
        <v>26</v>
      </c>
      <c r="K39" t="s">
        <v>19</v>
      </c>
      <c r="L39" t="s">
        <v>24</v>
      </c>
    </row>
    <row r="40" spans="1:12">
      <c r="A40" t="s">
        <v>82</v>
      </c>
      <c r="B40" s="40">
        <v>46217</v>
      </c>
      <c r="C40" t="s">
        <v>22</v>
      </c>
      <c r="D40" t="s">
        <v>14</v>
      </c>
      <c r="E40" t="s">
        <v>15</v>
      </c>
      <c r="F40" t="s">
        <v>16</v>
      </c>
      <c r="G40" t="s">
        <v>45</v>
      </c>
      <c r="H40" t="s">
        <v>18</v>
      </c>
      <c r="I40">
        <v>18</v>
      </c>
      <c r="J40">
        <v>185</v>
      </c>
      <c r="K40" t="s">
        <v>19</v>
      </c>
      <c r="L40" t="s">
        <v>24</v>
      </c>
    </row>
    <row r="41" spans="1:12">
      <c r="A41" t="s">
        <v>83</v>
      </c>
      <c r="B41" s="40">
        <v>46236</v>
      </c>
      <c r="C41" t="s">
        <v>13</v>
      </c>
      <c r="D41" t="s">
        <v>78</v>
      </c>
      <c r="E41" t="s">
        <v>48</v>
      </c>
      <c r="F41" t="s">
        <v>28</v>
      </c>
      <c r="G41" t="s">
        <v>45</v>
      </c>
      <c r="H41" t="s">
        <v>18</v>
      </c>
      <c r="I41">
        <v>18</v>
      </c>
      <c r="J41">
        <v>185</v>
      </c>
      <c r="K41" t="s">
        <v>19</v>
      </c>
      <c r="L41" t="s">
        <v>24</v>
      </c>
    </row>
    <row r="42" spans="1:12">
      <c r="A42" t="s">
        <v>84</v>
      </c>
      <c r="B42" s="40">
        <v>46220</v>
      </c>
      <c r="C42" t="s">
        <v>26</v>
      </c>
      <c r="D42" t="s">
        <v>57</v>
      </c>
      <c r="E42" t="s">
        <v>15</v>
      </c>
      <c r="F42" t="s">
        <v>40</v>
      </c>
      <c r="G42" t="s">
        <v>17</v>
      </c>
      <c r="H42" t="s">
        <v>18</v>
      </c>
      <c r="I42">
        <v>2</v>
      </c>
      <c r="J42">
        <v>260</v>
      </c>
      <c r="K42" t="s">
        <v>19</v>
      </c>
      <c r="L42" t="s">
        <v>24</v>
      </c>
    </row>
    <row r="43" spans="1:12">
      <c r="A43" t="s">
        <v>85</v>
      </c>
      <c r="B43" s="40">
        <v>46292</v>
      </c>
      <c r="C43" t="s">
        <v>22</v>
      </c>
      <c r="D43" t="s">
        <v>47</v>
      </c>
      <c r="E43" t="s">
        <v>48</v>
      </c>
      <c r="F43" t="s">
        <v>16</v>
      </c>
      <c r="G43" t="s">
        <v>23</v>
      </c>
      <c r="H43" t="s">
        <v>18</v>
      </c>
      <c r="I43">
        <v>2</v>
      </c>
      <c r="J43">
        <v>175</v>
      </c>
      <c r="K43" t="s">
        <v>19</v>
      </c>
      <c r="L43" t="s">
        <v>20</v>
      </c>
    </row>
    <row r="44" spans="1:12">
      <c r="A44" t="s">
        <v>86</v>
      </c>
      <c r="B44" s="40">
        <v>46209</v>
      </c>
      <c r="C44" t="s">
        <v>26</v>
      </c>
      <c r="D44" t="s">
        <v>53</v>
      </c>
      <c r="E44" t="s">
        <v>48</v>
      </c>
      <c r="F44" t="s">
        <v>28</v>
      </c>
      <c r="G44" t="s">
        <v>23</v>
      </c>
      <c r="H44" t="s">
        <v>18</v>
      </c>
      <c r="I44">
        <v>11</v>
      </c>
      <c r="J44">
        <v>175</v>
      </c>
      <c r="K44" t="s">
        <v>19</v>
      </c>
      <c r="L44" t="s">
        <v>58</v>
      </c>
    </row>
    <row r="45" spans="1:12">
      <c r="A45" t="s">
        <v>87</v>
      </c>
      <c r="B45" s="40">
        <v>46289</v>
      </c>
      <c r="C45" t="s">
        <v>13</v>
      </c>
      <c r="D45" t="s">
        <v>39</v>
      </c>
      <c r="E45" t="s">
        <v>15</v>
      </c>
      <c r="F45" t="s">
        <v>40</v>
      </c>
      <c r="G45" t="s">
        <v>49</v>
      </c>
      <c r="H45" t="s">
        <v>18</v>
      </c>
      <c r="I45">
        <v>15</v>
      </c>
      <c r="J45">
        <v>145</v>
      </c>
      <c r="K45" t="s">
        <v>19</v>
      </c>
      <c r="L45" t="s">
        <v>24</v>
      </c>
    </row>
    <row r="46" spans="1:12">
      <c r="A46" t="s">
        <v>88</v>
      </c>
      <c r="B46" s="40">
        <v>46234</v>
      </c>
      <c r="C46" t="s">
        <v>22</v>
      </c>
      <c r="D46" t="s">
        <v>47</v>
      </c>
      <c r="E46" t="s">
        <v>48</v>
      </c>
      <c r="F46" t="s">
        <v>16</v>
      </c>
      <c r="G46" t="s">
        <v>23</v>
      </c>
      <c r="H46" t="s">
        <v>18</v>
      </c>
      <c r="I46">
        <v>11</v>
      </c>
      <c r="J46">
        <v>175</v>
      </c>
      <c r="K46" t="s">
        <v>20</v>
      </c>
      <c r="L46" t="s">
        <v>20</v>
      </c>
    </row>
    <row r="47" spans="1:12">
      <c r="A47" t="s">
        <v>89</v>
      </c>
      <c r="B47" s="40">
        <v>46246</v>
      </c>
      <c r="C47" t="s">
        <v>52</v>
      </c>
      <c r="D47" t="s">
        <v>47</v>
      </c>
      <c r="E47" t="s">
        <v>48</v>
      </c>
      <c r="F47" t="s">
        <v>16</v>
      </c>
      <c r="G47" t="s">
        <v>17</v>
      </c>
      <c r="H47" t="s">
        <v>18</v>
      </c>
      <c r="I47">
        <v>13</v>
      </c>
      <c r="J47">
        <v>260</v>
      </c>
      <c r="K47" t="s">
        <v>20</v>
      </c>
      <c r="L47" t="s">
        <v>20</v>
      </c>
    </row>
    <row r="48" spans="1:12">
      <c r="A48" t="s">
        <v>90</v>
      </c>
      <c r="B48" s="40">
        <v>46217</v>
      </c>
      <c r="C48" t="s">
        <v>52</v>
      </c>
      <c r="D48" t="s">
        <v>27</v>
      </c>
      <c r="E48" t="s">
        <v>15</v>
      </c>
      <c r="F48" t="s">
        <v>28</v>
      </c>
      <c r="G48" t="s">
        <v>49</v>
      </c>
      <c r="H48" t="s">
        <v>18</v>
      </c>
      <c r="I48">
        <v>12</v>
      </c>
      <c r="J48">
        <v>145</v>
      </c>
      <c r="K48" t="s">
        <v>20</v>
      </c>
      <c r="L48" t="s">
        <v>20</v>
      </c>
    </row>
    <row r="49" spans="1:12">
      <c r="A49" t="s">
        <v>91</v>
      </c>
      <c r="B49" s="40">
        <v>46233</v>
      </c>
      <c r="C49" t="s">
        <v>22</v>
      </c>
      <c r="D49" t="s">
        <v>27</v>
      </c>
      <c r="E49" t="s">
        <v>15</v>
      </c>
      <c r="F49" t="s">
        <v>28</v>
      </c>
      <c r="G49" t="s">
        <v>45</v>
      </c>
      <c r="H49" t="s">
        <v>18</v>
      </c>
      <c r="I49">
        <v>31</v>
      </c>
      <c r="J49">
        <v>185</v>
      </c>
      <c r="K49" t="s">
        <v>19</v>
      </c>
      <c r="L49" t="s">
        <v>24</v>
      </c>
    </row>
    <row r="50" spans="1:12">
      <c r="A50" t="s">
        <v>92</v>
      </c>
      <c r="B50" s="40">
        <v>46239</v>
      </c>
      <c r="C50" t="s">
        <v>26</v>
      </c>
      <c r="D50" t="s">
        <v>78</v>
      </c>
      <c r="E50" t="s">
        <v>48</v>
      </c>
      <c r="F50" t="s">
        <v>28</v>
      </c>
      <c r="G50" t="s">
        <v>49</v>
      </c>
      <c r="H50" t="s">
        <v>18</v>
      </c>
      <c r="I50">
        <v>6</v>
      </c>
      <c r="J50">
        <v>145</v>
      </c>
      <c r="K50" t="s">
        <v>19</v>
      </c>
      <c r="L50" t="s">
        <v>24</v>
      </c>
    </row>
    <row r="51" spans="1:12">
      <c r="A51" t="s">
        <v>93</v>
      </c>
      <c r="B51" s="40">
        <v>46237</v>
      </c>
      <c r="C51" t="s">
        <v>22</v>
      </c>
      <c r="D51" t="s">
        <v>37</v>
      </c>
      <c r="E51" t="s">
        <v>33</v>
      </c>
      <c r="F51" t="s">
        <v>16</v>
      </c>
      <c r="G51" t="s">
        <v>49</v>
      </c>
      <c r="H51" t="s">
        <v>18</v>
      </c>
      <c r="I51">
        <v>3</v>
      </c>
      <c r="J51">
        <v>145</v>
      </c>
      <c r="K51" t="s">
        <v>19</v>
      </c>
      <c r="L51" t="s">
        <v>58</v>
      </c>
    </row>
    <row r="52" spans="1:12">
      <c r="A52" t="s">
        <v>94</v>
      </c>
      <c r="B52" s="40">
        <v>46244</v>
      </c>
      <c r="C52" t="s">
        <v>52</v>
      </c>
      <c r="D52" t="s">
        <v>39</v>
      </c>
      <c r="E52" t="s">
        <v>15</v>
      </c>
      <c r="F52" t="s">
        <v>40</v>
      </c>
      <c r="G52" t="s">
        <v>17</v>
      </c>
      <c r="H52" t="s">
        <v>18</v>
      </c>
      <c r="I52">
        <v>29</v>
      </c>
      <c r="J52">
        <v>260</v>
      </c>
      <c r="K52" t="s">
        <v>19</v>
      </c>
      <c r="L52" t="s">
        <v>24</v>
      </c>
    </row>
    <row r="53" spans="1:12">
      <c r="A53" t="s">
        <v>95</v>
      </c>
      <c r="B53" s="40">
        <v>46294</v>
      </c>
      <c r="C53" t="s">
        <v>52</v>
      </c>
      <c r="D53" t="s">
        <v>47</v>
      </c>
      <c r="E53" t="s">
        <v>48</v>
      </c>
      <c r="F53" t="s">
        <v>16</v>
      </c>
      <c r="G53" t="s">
        <v>23</v>
      </c>
      <c r="H53" t="s">
        <v>18</v>
      </c>
      <c r="I53">
        <v>14</v>
      </c>
      <c r="J53">
        <v>175</v>
      </c>
      <c r="K53" t="s">
        <v>19</v>
      </c>
      <c r="L53" t="s">
        <v>58</v>
      </c>
    </row>
    <row r="54" spans="1:12">
      <c r="A54" t="s">
        <v>96</v>
      </c>
      <c r="B54" s="40">
        <v>46212</v>
      </c>
      <c r="C54" t="s">
        <v>26</v>
      </c>
      <c r="D54" t="s">
        <v>37</v>
      </c>
      <c r="E54" t="s">
        <v>33</v>
      </c>
      <c r="F54" t="s">
        <v>16</v>
      </c>
      <c r="G54" t="s">
        <v>29</v>
      </c>
      <c r="H54" t="s">
        <v>30</v>
      </c>
      <c r="I54">
        <v>14</v>
      </c>
      <c r="J54">
        <v>26</v>
      </c>
      <c r="K54" t="s">
        <v>19</v>
      </c>
      <c r="L54" t="s">
        <v>24</v>
      </c>
    </row>
    <row r="55" spans="1:12">
      <c r="A55" t="s">
        <v>97</v>
      </c>
      <c r="B55" s="40">
        <v>46289</v>
      </c>
      <c r="C55" t="s">
        <v>52</v>
      </c>
      <c r="D55" t="s">
        <v>14</v>
      </c>
      <c r="E55" t="s">
        <v>15</v>
      </c>
      <c r="F55" t="s">
        <v>16</v>
      </c>
      <c r="G55" t="s">
        <v>29</v>
      </c>
      <c r="H55" t="s">
        <v>30</v>
      </c>
      <c r="I55">
        <v>21</v>
      </c>
      <c r="J55">
        <v>26</v>
      </c>
      <c r="K55" t="s">
        <v>19</v>
      </c>
      <c r="L55" t="s">
        <v>20</v>
      </c>
    </row>
    <row r="56" spans="1:12">
      <c r="A56" t="s">
        <v>98</v>
      </c>
      <c r="B56" s="40">
        <v>46252</v>
      </c>
      <c r="C56" t="s">
        <v>22</v>
      </c>
      <c r="D56" t="s">
        <v>37</v>
      </c>
      <c r="E56" t="s">
        <v>33</v>
      </c>
      <c r="F56" t="s">
        <v>16</v>
      </c>
      <c r="G56" t="s">
        <v>45</v>
      </c>
      <c r="H56" t="s">
        <v>18</v>
      </c>
      <c r="I56">
        <v>14</v>
      </c>
      <c r="J56">
        <v>185</v>
      </c>
      <c r="K56" t="s">
        <v>19</v>
      </c>
      <c r="L56" t="s">
        <v>24</v>
      </c>
    </row>
    <row r="57" spans="1:12">
      <c r="A57" t="s">
        <v>99</v>
      </c>
      <c r="B57" s="40">
        <v>46259</v>
      </c>
      <c r="C57" t="s">
        <v>26</v>
      </c>
      <c r="D57" t="s">
        <v>37</v>
      </c>
      <c r="E57" t="s">
        <v>33</v>
      </c>
      <c r="F57" t="s">
        <v>16</v>
      </c>
      <c r="G57" t="s">
        <v>17</v>
      </c>
      <c r="H57" t="s">
        <v>18</v>
      </c>
      <c r="I57">
        <v>21</v>
      </c>
      <c r="J57">
        <v>260</v>
      </c>
      <c r="K57" t="s">
        <v>19</v>
      </c>
      <c r="L57" t="s">
        <v>24</v>
      </c>
    </row>
    <row r="58" spans="1:12">
      <c r="A58" t="s">
        <v>100</v>
      </c>
      <c r="B58" s="40">
        <v>46225</v>
      </c>
      <c r="C58" t="s">
        <v>13</v>
      </c>
      <c r="D58" t="s">
        <v>27</v>
      </c>
      <c r="E58" t="s">
        <v>15</v>
      </c>
      <c r="F58" t="s">
        <v>28</v>
      </c>
      <c r="G58" t="s">
        <v>23</v>
      </c>
      <c r="H58" t="s">
        <v>18</v>
      </c>
      <c r="I58">
        <v>32</v>
      </c>
      <c r="J58">
        <v>175</v>
      </c>
      <c r="K58" t="s">
        <v>19</v>
      </c>
      <c r="L58" t="s">
        <v>24</v>
      </c>
    </row>
    <row r="59" spans="1:12">
      <c r="A59" t="s">
        <v>101</v>
      </c>
      <c r="B59" s="40">
        <v>46234</v>
      </c>
      <c r="C59" t="s">
        <v>26</v>
      </c>
      <c r="D59" t="s">
        <v>53</v>
      </c>
      <c r="E59" t="s">
        <v>48</v>
      </c>
      <c r="F59" t="s">
        <v>28</v>
      </c>
      <c r="G59" t="s">
        <v>49</v>
      </c>
      <c r="H59" t="s">
        <v>18</v>
      </c>
      <c r="I59">
        <v>7</v>
      </c>
      <c r="J59">
        <v>145</v>
      </c>
      <c r="K59" t="s">
        <v>19</v>
      </c>
      <c r="L59" t="s">
        <v>24</v>
      </c>
    </row>
    <row r="60" spans="1:12">
      <c r="A60" t="s">
        <v>102</v>
      </c>
      <c r="B60" s="40">
        <v>46282</v>
      </c>
      <c r="C60" t="s">
        <v>13</v>
      </c>
      <c r="D60" t="s">
        <v>39</v>
      </c>
      <c r="E60" t="s">
        <v>15</v>
      </c>
      <c r="F60" t="s">
        <v>40</v>
      </c>
      <c r="G60" t="s">
        <v>17</v>
      </c>
      <c r="H60" t="s">
        <v>18</v>
      </c>
      <c r="I60">
        <v>17</v>
      </c>
      <c r="J60">
        <v>260</v>
      </c>
      <c r="K60" t="s">
        <v>19</v>
      </c>
      <c r="L60" t="s">
        <v>20</v>
      </c>
    </row>
    <row r="61" spans="1:12">
      <c r="A61" t="s">
        <v>103</v>
      </c>
      <c r="B61" s="40">
        <v>46235</v>
      </c>
      <c r="C61" t="s">
        <v>22</v>
      </c>
      <c r="D61" t="s">
        <v>53</v>
      </c>
      <c r="E61" t="s">
        <v>48</v>
      </c>
      <c r="F61" t="s">
        <v>28</v>
      </c>
      <c r="G61" t="s">
        <v>45</v>
      </c>
      <c r="H61" t="s">
        <v>18</v>
      </c>
      <c r="I61">
        <v>26</v>
      </c>
      <c r="J61">
        <v>185</v>
      </c>
      <c r="K61" t="s">
        <v>19</v>
      </c>
      <c r="L61" t="s">
        <v>24</v>
      </c>
    </row>
    <row r="62" spans="1:12">
      <c r="A62" t="s">
        <v>104</v>
      </c>
      <c r="B62" s="40">
        <v>46293</v>
      </c>
      <c r="C62" t="s">
        <v>52</v>
      </c>
      <c r="D62" t="s">
        <v>14</v>
      </c>
      <c r="E62" t="s">
        <v>15</v>
      </c>
      <c r="F62" t="s">
        <v>16</v>
      </c>
      <c r="G62" t="s">
        <v>35</v>
      </c>
      <c r="H62" t="s">
        <v>30</v>
      </c>
      <c r="I62">
        <v>16</v>
      </c>
      <c r="J62">
        <v>210</v>
      </c>
      <c r="K62" t="s">
        <v>19</v>
      </c>
      <c r="L62" t="s">
        <v>24</v>
      </c>
    </row>
    <row r="63" spans="1:12">
      <c r="A63" t="s">
        <v>105</v>
      </c>
      <c r="B63" s="40">
        <v>46289</v>
      </c>
      <c r="C63" t="s">
        <v>26</v>
      </c>
      <c r="D63" t="s">
        <v>14</v>
      </c>
      <c r="E63" t="s">
        <v>15</v>
      </c>
      <c r="F63" t="s">
        <v>16</v>
      </c>
      <c r="G63" t="s">
        <v>35</v>
      </c>
      <c r="H63" t="s">
        <v>30</v>
      </c>
      <c r="I63">
        <v>10</v>
      </c>
      <c r="J63">
        <v>210</v>
      </c>
      <c r="K63" t="s">
        <v>20</v>
      </c>
      <c r="L63" t="s">
        <v>20</v>
      </c>
    </row>
    <row r="64" spans="1:12">
      <c r="A64" t="s">
        <v>106</v>
      </c>
      <c r="B64" s="40">
        <v>46274</v>
      </c>
      <c r="C64" t="s">
        <v>52</v>
      </c>
      <c r="D64" t="s">
        <v>53</v>
      </c>
      <c r="E64" t="s">
        <v>48</v>
      </c>
      <c r="F64" t="s">
        <v>28</v>
      </c>
      <c r="G64" t="s">
        <v>29</v>
      </c>
      <c r="H64" t="s">
        <v>30</v>
      </c>
      <c r="I64">
        <v>34</v>
      </c>
      <c r="J64">
        <v>26</v>
      </c>
      <c r="K64" t="s">
        <v>20</v>
      </c>
      <c r="L64" t="s">
        <v>20</v>
      </c>
    </row>
    <row r="65" spans="1:12">
      <c r="A65" t="s">
        <v>107</v>
      </c>
      <c r="B65" s="40">
        <v>46285</v>
      </c>
      <c r="C65" t="s">
        <v>26</v>
      </c>
      <c r="D65" t="s">
        <v>42</v>
      </c>
      <c r="E65" t="s">
        <v>15</v>
      </c>
      <c r="F65" t="s">
        <v>40</v>
      </c>
      <c r="G65" t="s">
        <v>35</v>
      </c>
      <c r="H65" t="s">
        <v>30</v>
      </c>
      <c r="I65">
        <v>18</v>
      </c>
      <c r="J65">
        <v>210</v>
      </c>
      <c r="K65" t="s">
        <v>20</v>
      </c>
      <c r="L65" t="s">
        <v>24</v>
      </c>
    </row>
    <row r="66" spans="1:12">
      <c r="A66" t="s">
        <v>108</v>
      </c>
      <c r="B66" s="40">
        <v>46234</v>
      </c>
      <c r="C66" t="s">
        <v>26</v>
      </c>
      <c r="D66" t="s">
        <v>27</v>
      </c>
      <c r="E66" t="s">
        <v>15</v>
      </c>
      <c r="F66" t="s">
        <v>28</v>
      </c>
      <c r="G66" t="s">
        <v>49</v>
      </c>
      <c r="H66" t="s">
        <v>18</v>
      </c>
      <c r="I66">
        <v>54</v>
      </c>
      <c r="J66">
        <v>145</v>
      </c>
      <c r="K66" t="s">
        <v>19</v>
      </c>
      <c r="L66" t="s">
        <v>20</v>
      </c>
    </row>
    <row r="67" spans="1:12">
      <c r="A67" t="s">
        <v>109</v>
      </c>
      <c r="B67" s="40">
        <v>46292</v>
      </c>
      <c r="C67" t="s">
        <v>22</v>
      </c>
      <c r="D67" t="s">
        <v>14</v>
      </c>
      <c r="E67" t="s">
        <v>15</v>
      </c>
      <c r="F67" t="s">
        <v>16</v>
      </c>
      <c r="G67" t="s">
        <v>45</v>
      </c>
      <c r="H67" t="s">
        <v>18</v>
      </c>
      <c r="I67">
        <v>11</v>
      </c>
      <c r="J67">
        <v>185</v>
      </c>
      <c r="K67" t="s">
        <v>19</v>
      </c>
      <c r="L67" t="s">
        <v>24</v>
      </c>
    </row>
    <row r="68" spans="1:12">
      <c r="A68" t="s">
        <v>110</v>
      </c>
      <c r="B68" s="40">
        <v>46230</v>
      </c>
      <c r="C68" t="s">
        <v>52</v>
      </c>
      <c r="D68" t="s">
        <v>47</v>
      </c>
      <c r="E68" t="s">
        <v>48</v>
      </c>
      <c r="F68" t="s">
        <v>16</v>
      </c>
      <c r="G68" t="s">
        <v>49</v>
      </c>
      <c r="H68" t="s">
        <v>18</v>
      </c>
      <c r="I68">
        <v>31</v>
      </c>
      <c r="J68">
        <v>145</v>
      </c>
      <c r="K68" t="s">
        <v>19</v>
      </c>
      <c r="L68" t="s">
        <v>20</v>
      </c>
    </row>
    <row r="69" spans="1:12">
      <c r="A69" t="s">
        <v>111</v>
      </c>
      <c r="B69" s="40">
        <v>46249</v>
      </c>
      <c r="C69" t="s">
        <v>26</v>
      </c>
      <c r="D69" t="s">
        <v>39</v>
      </c>
      <c r="E69" t="s">
        <v>15</v>
      </c>
      <c r="F69" t="s">
        <v>40</v>
      </c>
      <c r="G69" t="s">
        <v>23</v>
      </c>
      <c r="H69" t="s">
        <v>18</v>
      </c>
      <c r="I69">
        <v>26</v>
      </c>
      <c r="J69">
        <v>175</v>
      </c>
      <c r="K69" t="s">
        <v>20</v>
      </c>
      <c r="L69" t="s">
        <v>20</v>
      </c>
    </row>
    <row r="70" spans="1:12">
      <c r="A70" t="s">
        <v>112</v>
      </c>
      <c r="B70" s="40">
        <v>46238</v>
      </c>
      <c r="C70" t="s">
        <v>52</v>
      </c>
      <c r="D70" t="s">
        <v>47</v>
      </c>
      <c r="E70" t="s">
        <v>48</v>
      </c>
      <c r="F70" t="s">
        <v>16</v>
      </c>
      <c r="G70" t="s">
        <v>23</v>
      </c>
      <c r="H70" t="s">
        <v>18</v>
      </c>
      <c r="I70">
        <v>16</v>
      </c>
      <c r="J70">
        <v>175</v>
      </c>
      <c r="K70" t="s">
        <v>19</v>
      </c>
      <c r="L70" t="s">
        <v>24</v>
      </c>
    </row>
    <row r="71" spans="1:12">
      <c r="A71" t="s">
        <v>113</v>
      </c>
      <c r="B71" s="40">
        <v>46220</v>
      </c>
      <c r="C71" t="s">
        <v>13</v>
      </c>
      <c r="D71" t="s">
        <v>47</v>
      </c>
      <c r="E71" t="s">
        <v>48</v>
      </c>
      <c r="F71" t="s">
        <v>16</v>
      </c>
      <c r="G71" t="s">
        <v>29</v>
      </c>
      <c r="H71" t="s">
        <v>30</v>
      </c>
      <c r="I71">
        <v>12</v>
      </c>
      <c r="J71">
        <v>26</v>
      </c>
      <c r="K71" t="s">
        <v>20</v>
      </c>
      <c r="L71" t="s">
        <v>24</v>
      </c>
    </row>
    <row r="72" spans="1:12">
      <c r="A72" t="s">
        <v>114</v>
      </c>
      <c r="B72" s="40">
        <v>46263</v>
      </c>
      <c r="C72" t="s">
        <v>22</v>
      </c>
      <c r="D72" t="s">
        <v>39</v>
      </c>
      <c r="E72" t="s">
        <v>15</v>
      </c>
      <c r="F72" t="s">
        <v>40</v>
      </c>
      <c r="G72" t="s">
        <v>17</v>
      </c>
      <c r="H72" t="s">
        <v>18</v>
      </c>
      <c r="I72">
        <v>29</v>
      </c>
      <c r="J72">
        <v>260</v>
      </c>
      <c r="K72" t="s">
        <v>19</v>
      </c>
      <c r="L72" t="s">
        <v>24</v>
      </c>
    </row>
    <row r="73" spans="1:12">
      <c r="A73" t="s">
        <v>115</v>
      </c>
      <c r="B73" s="40">
        <v>46252</v>
      </c>
      <c r="C73" t="s">
        <v>26</v>
      </c>
      <c r="D73" t="s">
        <v>27</v>
      </c>
      <c r="E73" t="s">
        <v>15</v>
      </c>
      <c r="F73" t="s">
        <v>28</v>
      </c>
      <c r="G73" t="s">
        <v>35</v>
      </c>
      <c r="H73" t="s">
        <v>30</v>
      </c>
      <c r="I73">
        <v>22</v>
      </c>
      <c r="J73">
        <v>210</v>
      </c>
      <c r="K73" t="s">
        <v>20</v>
      </c>
      <c r="L73" t="s">
        <v>20</v>
      </c>
    </row>
    <row r="74" spans="1:12">
      <c r="A74" t="s">
        <v>116</v>
      </c>
      <c r="B74" s="40">
        <v>46210</v>
      </c>
      <c r="C74" t="s">
        <v>26</v>
      </c>
      <c r="D74" t="s">
        <v>57</v>
      </c>
      <c r="E74" t="s">
        <v>15</v>
      </c>
      <c r="F74" t="s">
        <v>40</v>
      </c>
      <c r="G74" t="s">
        <v>17</v>
      </c>
      <c r="H74" t="s">
        <v>18</v>
      </c>
      <c r="I74">
        <v>70</v>
      </c>
      <c r="J74">
        <v>260</v>
      </c>
      <c r="K74" t="s">
        <v>19</v>
      </c>
      <c r="L74" t="s">
        <v>24</v>
      </c>
    </row>
    <row r="75" spans="1:12">
      <c r="A75" t="s">
        <v>117</v>
      </c>
      <c r="B75" s="40">
        <v>46206</v>
      </c>
      <c r="C75" t="s">
        <v>22</v>
      </c>
      <c r="D75" t="s">
        <v>39</v>
      </c>
      <c r="E75" t="s">
        <v>15</v>
      </c>
      <c r="F75" t="s">
        <v>40</v>
      </c>
      <c r="G75" t="s">
        <v>17</v>
      </c>
      <c r="H75" t="s">
        <v>18</v>
      </c>
      <c r="I75">
        <v>17</v>
      </c>
      <c r="J75">
        <v>260</v>
      </c>
      <c r="K75" t="s">
        <v>19</v>
      </c>
      <c r="L75" t="s">
        <v>24</v>
      </c>
    </row>
    <row r="76" spans="1:12">
      <c r="A76" t="s">
        <v>118</v>
      </c>
      <c r="B76" s="40">
        <v>46236</v>
      </c>
      <c r="C76" t="s">
        <v>26</v>
      </c>
      <c r="D76" t="s">
        <v>14</v>
      </c>
      <c r="E76" t="s">
        <v>15</v>
      </c>
      <c r="F76" t="s">
        <v>16</v>
      </c>
      <c r="G76" t="s">
        <v>23</v>
      </c>
      <c r="H76" t="s">
        <v>18</v>
      </c>
      <c r="I76">
        <v>15</v>
      </c>
      <c r="J76">
        <v>175</v>
      </c>
      <c r="K76" t="s">
        <v>19</v>
      </c>
      <c r="L76" t="s">
        <v>24</v>
      </c>
    </row>
    <row r="77" spans="1:12">
      <c r="A77" t="s">
        <v>119</v>
      </c>
      <c r="B77" s="40">
        <v>46207</v>
      </c>
      <c r="C77" t="s">
        <v>26</v>
      </c>
      <c r="D77" t="s">
        <v>14</v>
      </c>
      <c r="E77" t="s">
        <v>15</v>
      </c>
      <c r="F77" t="s">
        <v>16</v>
      </c>
      <c r="G77" t="s">
        <v>45</v>
      </c>
      <c r="H77" t="s">
        <v>18</v>
      </c>
      <c r="I77">
        <v>21</v>
      </c>
      <c r="J77">
        <v>185</v>
      </c>
      <c r="K77" t="s">
        <v>19</v>
      </c>
      <c r="L77" t="s">
        <v>58</v>
      </c>
    </row>
    <row r="78" spans="1:12">
      <c r="A78" t="s">
        <v>120</v>
      </c>
      <c r="B78" s="40">
        <v>46284</v>
      </c>
      <c r="C78" t="s">
        <v>22</v>
      </c>
      <c r="D78" t="s">
        <v>47</v>
      </c>
      <c r="E78" t="s">
        <v>48</v>
      </c>
      <c r="F78" t="s">
        <v>16</v>
      </c>
      <c r="G78" t="s">
        <v>35</v>
      </c>
      <c r="H78" t="s">
        <v>30</v>
      </c>
      <c r="I78">
        <v>80</v>
      </c>
      <c r="J78">
        <v>210</v>
      </c>
      <c r="K78" t="s">
        <v>19</v>
      </c>
      <c r="L78" t="s">
        <v>20</v>
      </c>
    </row>
    <row r="79" spans="1:12">
      <c r="A79" t="s">
        <v>121</v>
      </c>
      <c r="B79" s="40">
        <v>46258</v>
      </c>
      <c r="C79" t="s">
        <v>26</v>
      </c>
      <c r="D79" t="s">
        <v>53</v>
      </c>
      <c r="E79" t="s">
        <v>48</v>
      </c>
      <c r="F79" t="s">
        <v>28</v>
      </c>
      <c r="G79" t="s">
        <v>17</v>
      </c>
      <c r="H79" t="s">
        <v>18</v>
      </c>
      <c r="I79">
        <v>4</v>
      </c>
      <c r="J79">
        <v>260</v>
      </c>
      <c r="K79" t="s">
        <v>19</v>
      </c>
      <c r="L79" t="s">
        <v>24</v>
      </c>
    </row>
    <row r="80" spans="1:12">
      <c r="A80" t="s">
        <v>122</v>
      </c>
      <c r="B80" s="40">
        <v>46250</v>
      </c>
      <c r="C80" t="s">
        <v>52</v>
      </c>
      <c r="D80" t="s">
        <v>39</v>
      </c>
      <c r="E80" t="s">
        <v>15</v>
      </c>
      <c r="F80" t="s">
        <v>40</v>
      </c>
      <c r="G80" t="s">
        <v>35</v>
      </c>
      <c r="H80" t="s">
        <v>30</v>
      </c>
      <c r="I80">
        <v>33</v>
      </c>
      <c r="J80">
        <v>210</v>
      </c>
      <c r="K80" t="s">
        <v>19</v>
      </c>
      <c r="L80" t="s">
        <v>24</v>
      </c>
    </row>
    <row r="81" spans="1:12">
      <c r="A81" t="s">
        <v>123</v>
      </c>
      <c r="B81" s="40">
        <v>46272</v>
      </c>
      <c r="C81" t="s">
        <v>52</v>
      </c>
      <c r="D81" t="s">
        <v>37</v>
      </c>
      <c r="E81" t="s">
        <v>33</v>
      </c>
      <c r="F81" t="s">
        <v>16</v>
      </c>
      <c r="G81" t="s">
        <v>29</v>
      </c>
      <c r="H81" t="s">
        <v>30</v>
      </c>
      <c r="I81">
        <v>19</v>
      </c>
      <c r="J81">
        <v>26</v>
      </c>
      <c r="K81" t="s">
        <v>19</v>
      </c>
      <c r="L81" t="s">
        <v>20</v>
      </c>
    </row>
    <row r="82" spans="1:12">
      <c r="A82" t="s">
        <v>124</v>
      </c>
      <c r="B82" s="40">
        <v>46215</v>
      </c>
      <c r="C82" t="s">
        <v>26</v>
      </c>
      <c r="D82" t="s">
        <v>53</v>
      </c>
      <c r="E82" t="s">
        <v>48</v>
      </c>
      <c r="F82" t="s">
        <v>28</v>
      </c>
      <c r="G82" t="s">
        <v>49</v>
      </c>
      <c r="H82" t="s">
        <v>18</v>
      </c>
      <c r="I82">
        <v>22</v>
      </c>
      <c r="J82">
        <v>145</v>
      </c>
      <c r="K82" t="s">
        <v>20</v>
      </c>
      <c r="L82" t="s">
        <v>24</v>
      </c>
    </row>
    <row r="83" spans="1:12">
      <c r="A83" t="s">
        <v>125</v>
      </c>
      <c r="B83" s="40">
        <v>46267</v>
      </c>
      <c r="C83" t="s">
        <v>26</v>
      </c>
      <c r="D83" t="s">
        <v>42</v>
      </c>
      <c r="E83" t="s">
        <v>15</v>
      </c>
      <c r="F83" t="s">
        <v>40</v>
      </c>
      <c r="G83" t="s">
        <v>23</v>
      </c>
      <c r="H83" t="s">
        <v>18</v>
      </c>
      <c r="I83">
        <v>26</v>
      </c>
      <c r="J83">
        <v>175</v>
      </c>
      <c r="K83" t="s">
        <v>19</v>
      </c>
      <c r="L83" t="s">
        <v>24</v>
      </c>
    </row>
    <row r="84" spans="1:12">
      <c r="A84" t="s">
        <v>126</v>
      </c>
      <c r="B84" s="40">
        <v>46293</v>
      </c>
      <c r="C84" t="s">
        <v>26</v>
      </c>
      <c r="D84" t="s">
        <v>57</v>
      </c>
      <c r="E84" t="s">
        <v>15</v>
      </c>
      <c r="F84" t="s">
        <v>40</v>
      </c>
      <c r="G84" t="s">
        <v>49</v>
      </c>
      <c r="H84" t="s">
        <v>18</v>
      </c>
      <c r="I84">
        <v>19</v>
      </c>
      <c r="J84">
        <v>145</v>
      </c>
      <c r="K84" t="s">
        <v>19</v>
      </c>
      <c r="L84" t="s">
        <v>24</v>
      </c>
    </row>
    <row r="85" spans="1:12">
      <c r="A85" t="s">
        <v>127</v>
      </c>
      <c r="B85" s="40">
        <v>46266</v>
      </c>
      <c r="C85" t="s">
        <v>22</v>
      </c>
      <c r="D85" t="s">
        <v>27</v>
      </c>
      <c r="E85" t="s">
        <v>15</v>
      </c>
      <c r="F85" t="s">
        <v>28</v>
      </c>
      <c r="G85" t="s">
        <v>17</v>
      </c>
      <c r="H85" t="s">
        <v>18</v>
      </c>
      <c r="I85">
        <v>17</v>
      </c>
      <c r="J85">
        <v>260</v>
      </c>
      <c r="K85" t="s">
        <v>19</v>
      </c>
      <c r="L85" t="s">
        <v>24</v>
      </c>
    </row>
    <row r="86" spans="1:12">
      <c r="A86" t="s">
        <v>128</v>
      </c>
      <c r="B86" s="40">
        <v>46232</v>
      </c>
      <c r="C86" t="s">
        <v>52</v>
      </c>
      <c r="D86" t="s">
        <v>42</v>
      </c>
      <c r="E86" t="s">
        <v>15</v>
      </c>
      <c r="F86" t="s">
        <v>40</v>
      </c>
      <c r="G86" t="s">
        <v>35</v>
      </c>
      <c r="H86" t="s">
        <v>30</v>
      </c>
      <c r="I86">
        <v>3</v>
      </c>
      <c r="J86">
        <v>210</v>
      </c>
      <c r="K86" t="s">
        <v>19</v>
      </c>
      <c r="L86" t="s">
        <v>24</v>
      </c>
    </row>
    <row r="87" spans="1:12">
      <c r="A87" t="s">
        <v>129</v>
      </c>
      <c r="B87" s="40">
        <v>46248</v>
      </c>
      <c r="C87" t="s">
        <v>52</v>
      </c>
      <c r="D87" t="s">
        <v>53</v>
      </c>
      <c r="E87" t="s">
        <v>48</v>
      </c>
      <c r="F87" t="s">
        <v>28</v>
      </c>
      <c r="G87" t="s">
        <v>49</v>
      </c>
      <c r="H87" t="s">
        <v>18</v>
      </c>
      <c r="I87">
        <v>32</v>
      </c>
      <c r="J87">
        <v>145</v>
      </c>
      <c r="K87" t="s">
        <v>20</v>
      </c>
      <c r="L87" t="s">
        <v>24</v>
      </c>
    </row>
    <row r="88" spans="1:12">
      <c r="A88" t="s">
        <v>130</v>
      </c>
      <c r="B88" s="40">
        <v>46236</v>
      </c>
      <c r="C88" t="s">
        <v>22</v>
      </c>
      <c r="D88" t="s">
        <v>78</v>
      </c>
      <c r="E88" t="s">
        <v>48</v>
      </c>
      <c r="F88" t="s">
        <v>28</v>
      </c>
      <c r="G88" t="s">
        <v>29</v>
      </c>
      <c r="H88" t="s">
        <v>30</v>
      </c>
      <c r="I88">
        <v>31</v>
      </c>
      <c r="J88">
        <v>26</v>
      </c>
      <c r="K88" t="s">
        <v>19</v>
      </c>
      <c r="L88" t="s">
        <v>24</v>
      </c>
    </row>
    <row r="89" spans="1:12">
      <c r="A89" t="s">
        <v>131</v>
      </c>
      <c r="B89" s="40">
        <v>46265</v>
      </c>
      <c r="C89" t="s">
        <v>26</v>
      </c>
      <c r="D89" t="s">
        <v>14</v>
      </c>
      <c r="E89" t="s">
        <v>15</v>
      </c>
      <c r="F89" t="s">
        <v>16</v>
      </c>
      <c r="G89" t="s">
        <v>29</v>
      </c>
      <c r="H89" t="s">
        <v>30</v>
      </c>
      <c r="I89">
        <v>13</v>
      </c>
      <c r="J89">
        <v>26</v>
      </c>
      <c r="K89" t="s">
        <v>20</v>
      </c>
      <c r="L89" t="s">
        <v>58</v>
      </c>
    </row>
    <row r="90" spans="1:12">
      <c r="A90" t="s">
        <v>132</v>
      </c>
      <c r="B90" s="40">
        <v>46228</v>
      </c>
      <c r="C90" t="s">
        <v>26</v>
      </c>
      <c r="D90" t="s">
        <v>37</v>
      </c>
      <c r="E90" t="s">
        <v>33</v>
      </c>
      <c r="F90" t="s">
        <v>16</v>
      </c>
      <c r="G90" t="s">
        <v>23</v>
      </c>
      <c r="H90" t="s">
        <v>18</v>
      </c>
      <c r="I90">
        <v>20</v>
      </c>
      <c r="J90">
        <v>175</v>
      </c>
      <c r="K90" t="s">
        <v>19</v>
      </c>
      <c r="L90" t="s">
        <v>24</v>
      </c>
    </row>
    <row r="91" spans="1:12">
      <c r="A91" t="s">
        <v>133</v>
      </c>
      <c r="B91" s="40">
        <v>46210</v>
      </c>
      <c r="C91" t="s">
        <v>26</v>
      </c>
      <c r="D91" t="s">
        <v>39</v>
      </c>
      <c r="E91" t="s">
        <v>15</v>
      </c>
      <c r="F91" t="s">
        <v>40</v>
      </c>
      <c r="G91" t="s">
        <v>29</v>
      </c>
      <c r="H91" t="s">
        <v>30</v>
      </c>
      <c r="I91">
        <v>10</v>
      </c>
      <c r="J91">
        <v>26</v>
      </c>
      <c r="K91" t="s">
        <v>19</v>
      </c>
      <c r="L91" t="s">
        <v>24</v>
      </c>
    </row>
    <row r="92" spans="1:12">
      <c r="A92" t="s">
        <v>134</v>
      </c>
      <c r="B92" s="40">
        <v>46264</v>
      </c>
      <c r="C92" t="s">
        <v>52</v>
      </c>
      <c r="D92" t="s">
        <v>42</v>
      </c>
      <c r="E92" t="s">
        <v>15</v>
      </c>
      <c r="F92" t="s">
        <v>40</v>
      </c>
      <c r="G92" t="s">
        <v>17</v>
      </c>
      <c r="H92" t="s">
        <v>18</v>
      </c>
      <c r="I92">
        <v>2</v>
      </c>
      <c r="J92">
        <v>260</v>
      </c>
      <c r="K92" t="s">
        <v>19</v>
      </c>
      <c r="L92" t="s">
        <v>24</v>
      </c>
    </row>
    <row r="93" spans="1:12">
      <c r="A93" t="s">
        <v>135</v>
      </c>
      <c r="B93" s="40">
        <v>46212</v>
      </c>
      <c r="C93" t="s">
        <v>52</v>
      </c>
      <c r="D93" t="s">
        <v>39</v>
      </c>
      <c r="E93" t="s">
        <v>15</v>
      </c>
      <c r="F93" t="s">
        <v>40</v>
      </c>
      <c r="G93" t="s">
        <v>49</v>
      </c>
      <c r="H93" t="s">
        <v>18</v>
      </c>
      <c r="I93">
        <v>32</v>
      </c>
      <c r="J93">
        <v>145</v>
      </c>
      <c r="K93" t="s">
        <v>19</v>
      </c>
      <c r="L93" t="s">
        <v>24</v>
      </c>
    </row>
    <row r="94" spans="1:12">
      <c r="A94" t="s">
        <v>136</v>
      </c>
      <c r="B94" s="40">
        <v>46242</v>
      </c>
      <c r="C94" t="s">
        <v>13</v>
      </c>
      <c r="D94" t="s">
        <v>39</v>
      </c>
      <c r="E94" t="s">
        <v>15</v>
      </c>
      <c r="F94" t="s">
        <v>40</v>
      </c>
      <c r="G94" t="s">
        <v>45</v>
      </c>
      <c r="H94" t="s">
        <v>18</v>
      </c>
      <c r="I94">
        <v>11</v>
      </c>
      <c r="J94">
        <v>185</v>
      </c>
      <c r="K94" t="s">
        <v>20</v>
      </c>
      <c r="L94" t="s">
        <v>24</v>
      </c>
    </row>
    <row r="95" spans="1:12">
      <c r="A95" t="s">
        <v>137</v>
      </c>
      <c r="B95" s="40">
        <v>46252</v>
      </c>
      <c r="C95" t="s">
        <v>52</v>
      </c>
      <c r="D95" t="s">
        <v>47</v>
      </c>
      <c r="E95" t="s">
        <v>48</v>
      </c>
      <c r="F95" t="s">
        <v>16</v>
      </c>
      <c r="G95" t="s">
        <v>23</v>
      </c>
      <c r="H95" t="s">
        <v>18</v>
      </c>
      <c r="I95">
        <v>16</v>
      </c>
      <c r="J95">
        <v>175</v>
      </c>
      <c r="K95" t="s">
        <v>20</v>
      </c>
      <c r="L95" t="s">
        <v>24</v>
      </c>
    </row>
    <row r="96" spans="1:12">
      <c r="A96" t="s">
        <v>138</v>
      </c>
      <c r="B96" s="40">
        <v>46211</v>
      </c>
      <c r="C96" t="s">
        <v>13</v>
      </c>
      <c r="D96" t="s">
        <v>53</v>
      </c>
      <c r="E96" t="s">
        <v>48</v>
      </c>
      <c r="F96" t="s">
        <v>28</v>
      </c>
      <c r="G96" t="s">
        <v>35</v>
      </c>
      <c r="H96" t="s">
        <v>30</v>
      </c>
      <c r="I96">
        <v>21</v>
      </c>
      <c r="J96">
        <v>210</v>
      </c>
      <c r="K96" t="s">
        <v>20</v>
      </c>
      <c r="L96" t="s">
        <v>24</v>
      </c>
    </row>
    <row r="97" spans="1:12">
      <c r="A97" t="s">
        <v>139</v>
      </c>
      <c r="B97" s="40">
        <v>46226</v>
      </c>
      <c r="C97" t="s">
        <v>13</v>
      </c>
      <c r="D97" t="s">
        <v>27</v>
      </c>
      <c r="E97" t="s">
        <v>15</v>
      </c>
      <c r="F97" t="s">
        <v>28</v>
      </c>
      <c r="G97" t="s">
        <v>49</v>
      </c>
      <c r="H97" t="s">
        <v>18</v>
      </c>
      <c r="I97">
        <v>7</v>
      </c>
      <c r="J97">
        <v>145</v>
      </c>
      <c r="K97" t="s">
        <v>19</v>
      </c>
      <c r="L97" t="s">
        <v>24</v>
      </c>
    </row>
    <row r="98" spans="1:12">
      <c r="A98" t="s">
        <v>140</v>
      </c>
      <c r="B98" s="40">
        <v>46294</v>
      </c>
      <c r="C98" t="s">
        <v>26</v>
      </c>
      <c r="D98" t="s">
        <v>53</v>
      </c>
      <c r="E98" t="s">
        <v>48</v>
      </c>
      <c r="F98" t="s">
        <v>28</v>
      </c>
      <c r="G98" t="s">
        <v>35</v>
      </c>
      <c r="H98" t="s">
        <v>30</v>
      </c>
      <c r="I98">
        <v>54</v>
      </c>
      <c r="J98">
        <v>210</v>
      </c>
      <c r="K98" t="s">
        <v>19</v>
      </c>
      <c r="L98" t="s">
        <v>24</v>
      </c>
    </row>
    <row r="99" spans="1:12">
      <c r="A99" t="s">
        <v>141</v>
      </c>
      <c r="B99" s="40">
        <v>46273</v>
      </c>
      <c r="C99" t="s">
        <v>22</v>
      </c>
      <c r="D99" t="s">
        <v>27</v>
      </c>
      <c r="E99" t="s">
        <v>15</v>
      </c>
      <c r="F99" t="s">
        <v>28</v>
      </c>
      <c r="G99" t="s">
        <v>49</v>
      </c>
      <c r="H99" t="s">
        <v>18</v>
      </c>
      <c r="I99">
        <v>14</v>
      </c>
      <c r="J99">
        <v>145</v>
      </c>
      <c r="K99" t="s">
        <v>19</v>
      </c>
      <c r="L99" t="s">
        <v>58</v>
      </c>
    </row>
    <row r="100" spans="1:12">
      <c r="A100" t="s">
        <v>142</v>
      </c>
      <c r="B100" s="40">
        <v>46243</v>
      </c>
      <c r="C100" t="s">
        <v>26</v>
      </c>
      <c r="D100" t="s">
        <v>32</v>
      </c>
      <c r="E100" t="s">
        <v>33</v>
      </c>
      <c r="F100" t="s">
        <v>16</v>
      </c>
      <c r="G100" t="s">
        <v>17</v>
      </c>
      <c r="H100" t="s">
        <v>18</v>
      </c>
      <c r="I100">
        <v>5</v>
      </c>
      <c r="J100">
        <v>260</v>
      </c>
      <c r="K100" t="s">
        <v>19</v>
      </c>
      <c r="L100" t="s">
        <v>24</v>
      </c>
    </row>
    <row r="101" spans="1:12">
      <c r="A101" t="s">
        <v>143</v>
      </c>
      <c r="B101" s="40">
        <v>46268</v>
      </c>
      <c r="C101" t="s">
        <v>52</v>
      </c>
      <c r="D101" t="s">
        <v>57</v>
      </c>
      <c r="E101" t="s">
        <v>15</v>
      </c>
      <c r="F101" t="s">
        <v>40</v>
      </c>
      <c r="G101" t="s">
        <v>29</v>
      </c>
      <c r="H101" t="s">
        <v>30</v>
      </c>
      <c r="I101">
        <v>27</v>
      </c>
      <c r="J101">
        <v>26</v>
      </c>
      <c r="K101" t="s">
        <v>19</v>
      </c>
      <c r="L101" t="s">
        <v>24</v>
      </c>
    </row>
    <row r="102" spans="1:12">
      <c r="A102" t="s">
        <v>144</v>
      </c>
      <c r="B102" s="40">
        <v>46207</v>
      </c>
      <c r="C102" t="s">
        <v>13</v>
      </c>
      <c r="D102" t="s">
        <v>47</v>
      </c>
      <c r="E102" t="s">
        <v>48</v>
      </c>
      <c r="F102" t="s">
        <v>16</v>
      </c>
      <c r="G102" t="s">
        <v>29</v>
      </c>
      <c r="H102" t="s">
        <v>30</v>
      </c>
      <c r="I102">
        <v>22</v>
      </c>
      <c r="J102">
        <v>26</v>
      </c>
      <c r="K102" t="s">
        <v>19</v>
      </c>
      <c r="L102" t="s">
        <v>24</v>
      </c>
    </row>
    <row r="103" spans="1:12">
      <c r="A103" t="s">
        <v>145</v>
      </c>
      <c r="B103" s="40">
        <v>46290</v>
      </c>
      <c r="C103" t="s">
        <v>26</v>
      </c>
      <c r="D103" t="s">
        <v>53</v>
      </c>
      <c r="E103" t="s">
        <v>48</v>
      </c>
      <c r="F103" t="s">
        <v>28</v>
      </c>
      <c r="G103" t="s">
        <v>23</v>
      </c>
      <c r="H103" t="s">
        <v>18</v>
      </c>
      <c r="I103">
        <v>3</v>
      </c>
      <c r="J103">
        <v>175</v>
      </c>
      <c r="K103" t="s">
        <v>19</v>
      </c>
      <c r="L103" t="s">
        <v>20</v>
      </c>
    </row>
    <row r="104" spans="1:12">
      <c r="A104" t="s">
        <v>146</v>
      </c>
      <c r="B104" s="40">
        <v>46239</v>
      </c>
      <c r="C104" t="s">
        <v>22</v>
      </c>
      <c r="D104" t="s">
        <v>32</v>
      </c>
      <c r="E104" t="s">
        <v>33</v>
      </c>
      <c r="F104" t="s">
        <v>16</v>
      </c>
      <c r="G104" t="s">
        <v>35</v>
      </c>
      <c r="H104" t="s">
        <v>30</v>
      </c>
      <c r="I104">
        <v>35</v>
      </c>
      <c r="J104">
        <v>210</v>
      </c>
      <c r="K104" t="s">
        <v>20</v>
      </c>
      <c r="L104" t="s">
        <v>24</v>
      </c>
    </row>
    <row r="105" spans="1:12">
      <c r="A105" t="s">
        <v>147</v>
      </c>
      <c r="B105" s="40">
        <v>46246</v>
      </c>
      <c r="C105" t="s">
        <v>26</v>
      </c>
      <c r="D105" t="s">
        <v>42</v>
      </c>
      <c r="E105" t="s">
        <v>15</v>
      </c>
      <c r="F105" t="s">
        <v>40</v>
      </c>
      <c r="G105" t="s">
        <v>17</v>
      </c>
      <c r="H105" t="s">
        <v>18</v>
      </c>
      <c r="I105">
        <v>32</v>
      </c>
      <c r="J105">
        <v>260</v>
      </c>
      <c r="K105" t="s">
        <v>19</v>
      </c>
      <c r="L105" t="s">
        <v>20</v>
      </c>
    </row>
    <row r="106" spans="1:12">
      <c r="A106" t="s">
        <v>148</v>
      </c>
      <c r="B106" s="40">
        <v>46255</v>
      </c>
      <c r="C106" t="s">
        <v>13</v>
      </c>
      <c r="D106" t="s">
        <v>78</v>
      </c>
      <c r="E106" t="s">
        <v>48</v>
      </c>
      <c r="F106" t="s">
        <v>28</v>
      </c>
      <c r="G106" t="s">
        <v>35</v>
      </c>
      <c r="H106" t="s">
        <v>30</v>
      </c>
      <c r="I106">
        <v>33</v>
      </c>
      <c r="J106">
        <v>210</v>
      </c>
      <c r="K106" t="s">
        <v>19</v>
      </c>
      <c r="L106" t="s">
        <v>24</v>
      </c>
    </row>
    <row r="107" spans="1:12">
      <c r="A107" t="s">
        <v>149</v>
      </c>
      <c r="B107" s="40">
        <v>46204</v>
      </c>
      <c r="C107" t="s">
        <v>52</v>
      </c>
      <c r="D107" t="s">
        <v>78</v>
      </c>
      <c r="E107" t="s">
        <v>48</v>
      </c>
      <c r="F107" t="s">
        <v>28</v>
      </c>
      <c r="G107" t="s">
        <v>17</v>
      </c>
      <c r="H107" t="s">
        <v>18</v>
      </c>
      <c r="I107">
        <v>27</v>
      </c>
      <c r="J107">
        <v>260</v>
      </c>
      <c r="K107" t="s">
        <v>19</v>
      </c>
      <c r="L107" t="s">
        <v>24</v>
      </c>
    </row>
    <row r="108" spans="1:12">
      <c r="A108" t="s">
        <v>150</v>
      </c>
      <c r="B108" s="40">
        <v>46210</v>
      </c>
      <c r="C108" t="s">
        <v>22</v>
      </c>
      <c r="D108" t="s">
        <v>78</v>
      </c>
      <c r="E108" t="s">
        <v>48</v>
      </c>
      <c r="F108" t="s">
        <v>28</v>
      </c>
      <c r="G108" t="s">
        <v>23</v>
      </c>
      <c r="H108" t="s">
        <v>18</v>
      </c>
      <c r="I108">
        <v>33</v>
      </c>
      <c r="J108">
        <v>175</v>
      </c>
      <c r="K108" t="s">
        <v>19</v>
      </c>
      <c r="L108" t="s">
        <v>24</v>
      </c>
    </row>
    <row r="109" spans="1:12">
      <c r="A109" t="s">
        <v>151</v>
      </c>
      <c r="B109" s="40">
        <v>46284</v>
      </c>
      <c r="C109" t="s">
        <v>22</v>
      </c>
      <c r="D109" t="s">
        <v>57</v>
      </c>
      <c r="E109" t="s">
        <v>15</v>
      </c>
      <c r="F109" t="s">
        <v>40</v>
      </c>
      <c r="G109" t="s">
        <v>35</v>
      </c>
      <c r="H109" t="s">
        <v>30</v>
      </c>
      <c r="I109">
        <v>33</v>
      </c>
      <c r="J109">
        <v>210</v>
      </c>
      <c r="K109" t="s">
        <v>19</v>
      </c>
      <c r="L109" t="s">
        <v>24</v>
      </c>
    </row>
    <row r="110" spans="1:12">
      <c r="A110" t="s">
        <v>152</v>
      </c>
      <c r="B110" s="40">
        <v>46218</v>
      </c>
      <c r="C110" t="s">
        <v>52</v>
      </c>
      <c r="D110" t="s">
        <v>39</v>
      </c>
      <c r="E110" t="s">
        <v>15</v>
      </c>
      <c r="F110" t="s">
        <v>40</v>
      </c>
      <c r="G110" t="s">
        <v>23</v>
      </c>
      <c r="H110" t="s">
        <v>18</v>
      </c>
      <c r="I110">
        <v>28</v>
      </c>
      <c r="J110">
        <v>175</v>
      </c>
      <c r="K110" t="s">
        <v>20</v>
      </c>
      <c r="L110" t="s">
        <v>24</v>
      </c>
    </row>
    <row r="111" spans="1:12">
      <c r="A111" t="s">
        <v>153</v>
      </c>
      <c r="B111" s="40">
        <v>46238</v>
      </c>
      <c r="C111" t="s">
        <v>52</v>
      </c>
      <c r="D111" t="s">
        <v>32</v>
      </c>
      <c r="E111" t="s">
        <v>33</v>
      </c>
      <c r="F111" t="s">
        <v>16</v>
      </c>
      <c r="G111" t="s">
        <v>35</v>
      </c>
      <c r="H111" t="s">
        <v>30</v>
      </c>
      <c r="I111">
        <v>20</v>
      </c>
      <c r="J111">
        <v>210</v>
      </c>
      <c r="K111" t="s">
        <v>20</v>
      </c>
      <c r="L111" t="s">
        <v>58</v>
      </c>
    </row>
    <row r="112" spans="1:12">
      <c r="A112" t="s">
        <v>154</v>
      </c>
      <c r="B112" s="40">
        <v>46280</v>
      </c>
      <c r="C112" t="s">
        <v>22</v>
      </c>
      <c r="D112" t="s">
        <v>27</v>
      </c>
      <c r="E112" t="s">
        <v>15</v>
      </c>
      <c r="F112" t="s">
        <v>28</v>
      </c>
      <c r="G112" t="s">
        <v>35</v>
      </c>
      <c r="H112" t="s">
        <v>30</v>
      </c>
      <c r="I112">
        <v>11</v>
      </c>
      <c r="J112">
        <v>210</v>
      </c>
      <c r="K112" t="s">
        <v>20</v>
      </c>
      <c r="L112" t="s">
        <v>24</v>
      </c>
    </row>
    <row r="113" spans="1:12">
      <c r="A113" t="s">
        <v>155</v>
      </c>
      <c r="B113" s="40">
        <v>46204</v>
      </c>
      <c r="C113" t="s">
        <v>26</v>
      </c>
      <c r="D113" t="s">
        <v>47</v>
      </c>
      <c r="E113" t="s">
        <v>48</v>
      </c>
      <c r="F113" t="s">
        <v>16</v>
      </c>
      <c r="G113" t="s">
        <v>49</v>
      </c>
      <c r="H113" t="s">
        <v>18</v>
      </c>
      <c r="I113">
        <v>34</v>
      </c>
      <c r="J113">
        <v>145</v>
      </c>
      <c r="K113" t="s">
        <v>20</v>
      </c>
      <c r="L113" t="s">
        <v>20</v>
      </c>
    </row>
    <row r="114" spans="1:12">
      <c r="A114" t="s">
        <v>156</v>
      </c>
      <c r="B114" s="40">
        <v>46261</v>
      </c>
      <c r="C114" t="s">
        <v>52</v>
      </c>
      <c r="D114" t="s">
        <v>53</v>
      </c>
      <c r="E114" t="s">
        <v>48</v>
      </c>
      <c r="F114" t="s">
        <v>28</v>
      </c>
      <c r="G114" t="s">
        <v>29</v>
      </c>
      <c r="H114" t="s">
        <v>30</v>
      </c>
      <c r="I114">
        <v>33</v>
      </c>
      <c r="J114">
        <v>26</v>
      </c>
      <c r="K114" t="s">
        <v>19</v>
      </c>
      <c r="L114" t="s">
        <v>24</v>
      </c>
    </row>
    <row r="115" spans="1:12">
      <c r="A115" t="s">
        <v>157</v>
      </c>
      <c r="B115" s="40">
        <v>46228</v>
      </c>
      <c r="C115" t="s">
        <v>22</v>
      </c>
      <c r="D115" t="s">
        <v>37</v>
      </c>
      <c r="E115" t="s">
        <v>33</v>
      </c>
      <c r="F115" t="s">
        <v>16</v>
      </c>
      <c r="G115" t="s">
        <v>35</v>
      </c>
      <c r="H115" t="s">
        <v>30</v>
      </c>
      <c r="I115">
        <v>31</v>
      </c>
      <c r="J115">
        <v>210</v>
      </c>
      <c r="K115" t="s">
        <v>19</v>
      </c>
      <c r="L115" t="s">
        <v>24</v>
      </c>
    </row>
    <row r="116" spans="1:12">
      <c r="A116" t="s">
        <v>158</v>
      </c>
      <c r="B116" s="40">
        <v>46294</v>
      </c>
      <c r="C116" t="s">
        <v>52</v>
      </c>
      <c r="D116" t="s">
        <v>47</v>
      </c>
      <c r="E116" t="s">
        <v>48</v>
      </c>
      <c r="F116" t="s">
        <v>16</v>
      </c>
      <c r="G116" t="s">
        <v>17</v>
      </c>
      <c r="H116" t="s">
        <v>18</v>
      </c>
      <c r="I116">
        <v>22</v>
      </c>
      <c r="J116">
        <v>260</v>
      </c>
      <c r="K116" t="s">
        <v>19</v>
      </c>
      <c r="L116" t="s">
        <v>24</v>
      </c>
    </row>
    <row r="117" spans="1:12">
      <c r="A117" t="s">
        <v>159</v>
      </c>
      <c r="B117" s="40">
        <v>46279</v>
      </c>
      <c r="C117" t="s">
        <v>26</v>
      </c>
      <c r="D117" t="s">
        <v>32</v>
      </c>
      <c r="E117" t="s">
        <v>33</v>
      </c>
      <c r="F117" t="s">
        <v>16</v>
      </c>
      <c r="G117" t="s">
        <v>35</v>
      </c>
      <c r="H117" t="s">
        <v>30</v>
      </c>
      <c r="I117">
        <v>4</v>
      </c>
      <c r="J117">
        <v>210</v>
      </c>
      <c r="K117" t="s">
        <v>20</v>
      </c>
      <c r="L117" t="s">
        <v>20</v>
      </c>
    </row>
    <row r="118" spans="1:12">
      <c r="A118" t="s">
        <v>160</v>
      </c>
      <c r="B118" s="40">
        <v>46205</v>
      </c>
      <c r="C118" t="s">
        <v>22</v>
      </c>
      <c r="D118" t="s">
        <v>42</v>
      </c>
      <c r="E118" t="s">
        <v>15</v>
      </c>
      <c r="F118" t="s">
        <v>40</v>
      </c>
      <c r="G118" t="s">
        <v>17</v>
      </c>
      <c r="H118" t="s">
        <v>18</v>
      </c>
      <c r="I118">
        <v>35</v>
      </c>
      <c r="J118">
        <v>260</v>
      </c>
      <c r="K118" t="s">
        <v>19</v>
      </c>
      <c r="L118" t="s">
        <v>24</v>
      </c>
    </row>
    <row r="119" spans="1:12">
      <c r="A119" t="s">
        <v>161</v>
      </c>
      <c r="B119" s="40">
        <v>46237</v>
      </c>
      <c r="C119" t="s">
        <v>26</v>
      </c>
      <c r="D119" t="s">
        <v>32</v>
      </c>
      <c r="E119" t="s">
        <v>33</v>
      </c>
      <c r="F119" t="s">
        <v>16</v>
      </c>
      <c r="G119" t="s">
        <v>17</v>
      </c>
      <c r="H119" t="s">
        <v>18</v>
      </c>
      <c r="I119">
        <v>32</v>
      </c>
      <c r="J119">
        <v>260</v>
      </c>
      <c r="K119" t="s">
        <v>19</v>
      </c>
      <c r="L119" t="s">
        <v>24</v>
      </c>
    </row>
    <row r="120" spans="1:12">
      <c r="A120" t="s">
        <v>162</v>
      </c>
      <c r="B120" s="40">
        <v>46284</v>
      </c>
      <c r="C120" t="s">
        <v>52</v>
      </c>
      <c r="D120" t="s">
        <v>14</v>
      </c>
      <c r="E120" t="s">
        <v>15</v>
      </c>
      <c r="F120" t="s">
        <v>16</v>
      </c>
      <c r="G120" t="s">
        <v>49</v>
      </c>
      <c r="H120" t="s">
        <v>18</v>
      </c>
      <c r="I120">
        <v>26</v>
      </c>
      <c r="J120">
        <v>145</v>
      </c>
      <c r="K120" t="s">
        <v>20</v>
      </c>
      <c r="L120" t="s">
        <v>24</v>
      </c>
    </row>
    <row r="121" spans="1:12">
      <c r="A121" t="s">
        <v>163</v>
      </c>
      <c r="B121" s="40">
        <v>46215</v>
      </c>
      <c r="C121" t="s">
        <v>52</v>
      </c>
      <c r="D121" t="s">
        <v>14</v>
      </c>
      <c r="E121" t="s">
        <v>15</v>
      </c>
      <c r="F121" t="s">
        <v>16</v>
      </c>
      <c r="G121" t="s">
        <v>45</v>
      </c>
      <c r="H121" t="s">
        <v>18</v>
      </c>
      <c r="I121">
        <v>20</v>
      </c>
      <c r="J121">
        <v>185</v>
      </c>
      <c r="K121" t="s">
        <v>20</v>
      </c>
      <c r="L121" t="s">
        <v>20</v>
      </c>
    </row>
    <row r="122" spans="1:12">
      <c r="A122" t="s">
        <v>164</v>
      </c>
      <c r="B122" s="40">
        <v>46207</v>
      </c>
      <c r="C122" t="s">
        <v>13</v>
      </c>
      <c r="D122" t="s">
        <v>14</v>
      </c>
      <c r="E122" t="s">
        <v>15</v>
      </c>
      <c r="F122" t="s">
        <v>16</v>
      </c>
      <c r="G122" t="s">
        <v>35</v>
      </c>
      <c r="H122" t="s">
        <v>30</v>
      </c>
      <c r="I122">
        <v>12</v>
      </c>
      <c r="J122">
        <v>210</v>
      </c>
      <c r="K122" t="s">
        <v>19</v>
      </c>
      <c r="L122" t="s">
        <v>24</v>
      </c>
    </row>
    <row r="123" spans="1:12">
      <c r="A123" t="s">
        <v>165</v>
      </c>
      <c r="B123" s="40">
        <v>46271</v>
      </c>
      <c r="C123" t="s">
        <v>52</v>
      </c>
      <c r="D123" t="s">
        <v>78</v>
      </c>
      <c r="E123" t="s">
        <v>48</v>
      </c>
      <c r="F123" t="s">
        <v>28</v>
      </c>
      <c r="G123" t="s">
        <v>49</v>
      </c>
      <c r="H123" t="s">
        <v>18</v>
      </c>
      <c r="I123">
        <v>29</v>
      </c>
      <c r="J123">
        <v>145</v>
      </c>
      <c r="K123" t="s">
        <v>19</v>
      </c>
      <c r="L123" t="s">
        <v>20</v>
      </c>
    </row>
    <row r="124" spans="1:12">
      <c r="A124" t="s">
        <v>166</v>
      </c>
      <c r="B124" s="40">
        <v>46252</v>
      </c>
      <c r="C124" t="s">
        <v>22</v>
      </c>
      <c r="D124" t="s">
        <v>32</v>
      </c>
      <c r="E124" t="s">
        <v>33</v>
      </c>
      <c r="F124" t="s">
        <v>16</v>
      </c>
      <c r="G124" t="s">
        <v>45</v>
      </c>
      <c r="H124" t="s">
        <v>18</v>
      </c>
      <c r="I124">
        <v>7</v>
      </c>
      <c r="J124">
        <v>185</v>
      </c>
      <c r="K124" t="s">
        <v>19</v>
      </c>
      <c r="L124" t="s">
        <v>24</v>
      </c>
    </row>
    <row r="125" spans="1:12">
      <c r="A125" t="s">
        <v>167</v>
      </c>
      <c r="B125" s="40">
        <v>46289</v>
      </c>
      <c r="C125" t="s">
        <v>13</v>
      </c>
      <c r="D125" t="s">
        <v>27</v>
      </c>
      <c r="E125" t="s">
        <v>15</v>
      </c>
      <c r="F125" t="s">
        <v>28</v>
      </c>
      <c r="G125" t="s">
        <v>35</v>
      </c>
      <c r="H125" t="s">
        <v>30</v>
      </c>
      <c r="I125">
        <v>18</v>
      </c>
      <c r="J125">
        <v>210</v>
      </c>
      <c r="K125" t="s">
        <v>20</v>
      </c>
      <c r="L125" t="s">
        <v>24</v>
      </c>
    </row>
    <row r="126" spans="1:12">
      <c r="A126" t="s">
        <v>168</v>
      </c>
      <c r="B126" s="40">
        <v>46279</v>
      </c>
      <c r="C126" t="s">
        <v>26</v>
      </c>
      <c r="D126" t="s">
        <v>57</v>
      </c>
      <c r="E126" t="s">
        <v>15</v>
      </c>
      <c r="F126" t="s">
        <v>40</v>
      </c>
      <c r="G126" t="s">
        <v>29</v>
      </c>
      <c r="H126" t="s">
        <v>30</v>
      </c>
      <c r="I126">
        <v>58</v>
      </c>
      <c r="J126">
        <v>26</v>
      </c>
      <c r="K126" t="s">
        <v>19</v>
      </c>
      <c r="L126" t="s">
        <v>24</v>
      </c>
    </row>
    <row r="127" spans="1:12">
      <c r="A127" t="s">
        <v>169</v>
      </c>
      <c r="B127" s="40">
        <v>46253</v>
      </c>
      <c r="C127" t="s">
        <v>52</v>
      </c>
      <c r="D127" t="s">
        <v>57</v>
      </c>
      <c r="E127" t="s">
        <v>15</v>
      </c>
      <c r="F127" t="s">
        <v>40</v>
      </c>
      <c r="G127" t="s">
        <v>35</v>
      </c>
      <c r="H127" t="s">
        <v>30</v>
      </c>
      <c r="I127">
        <v>21</v>
      </c>
      <c r="J127">
        <v>210</v>
      </c>
      <c r="K127" t="s">
        <v>19</v>
      </c>
      <c r="L127" t="s">
        <v>24</v>
      </c>
    </row>
    <row r="128" spans="1:12">
      <c r="A128" t="s">
        <v>170</v>
      </c>
      <c r="B128" s="40">
        <v>46241</v>
      </c>
      <c r="C128" t="s">
        <v>13</v>
      </c>
      <c r="D128" t="s">
        <v>78</v>
      </c>
      <c r="E128" t="s">
        <v>48</v>
      </c>
      <c r="F128" t="s">
        <v>28</v>
      </c>
      <c r="G128" t="s">
        <v>23</v>
      </c>
      <c r="H128" t="s">
        <v>18</v>
      </c>
      <c r="I128">
        <v>20</v>
      </c>
      <c r="J128">
        <v>175</v>
      </c>
      <c r="K128" t="s">
        <v>20</v>
      </c>
      <c r="L128" t="s">
        <v>24</v>
      </c>
    </row>
    <row r="129" spans="1:12">
      <c r="A129" t="s">
        <v>171</v>
      </c>
      <c r="B129" s="40">
        <v>46267</v>
      </c>
      <c r="C129" t="s">
        <v>26</v>
      </c>
      <c r="D129" t="s">
        <v>57</v>
      </c>
      <c r="E129" t="s">
        <v>15</v>
      </c>
      <c r="F129" t="s">
        <v>40</v>
      </c>
      <c r="G129" t="s">
        <v>17</v>
      </c>
      <c r="H129" t="s">
        <v>18</v>
      </c>
      <c r="I129">
        <v>5</v>
      </c>
      <c r="J129">
        <v>260</v>
      </c>
      <c r="K129" t="s">
        <v>20</v>
      </c>
      <c r="L129" t="s">
        <v>24</v>
      </c>
    </row>
    <row r="130" spans="1:12">
      <c r="A130" t="s">
        <v>172</v>
      </c>
      <c r="B130" s="40">
        <v>46290</v>
      </c>
      <c r="C130" t="s">
        <v>22</v>
      </c>
      <c r="D130" t="s">
        <v>78</v>
      </c>
      <c r="E130" t="s">
        <v>48</v>
      </c>
      <c r="F130" t="s">
        <v>28</v>
      </c>
      <c r="G130" t="s">
        <v>45</v>
      </c>
      <c r="H130" t="s">
        <v>18</v>
      </c>
      <c r="I130">
        <v>14</v>
      </c>
      <c r="J130">
        <v>185</v>
      </c>
      <c r="K130" t="s">
        <v>19</v>
      </c>
      <c r="L130" t="s">
        <v>58</v>
      </c>
    </row>
    <row r="131" spans="1:12">
      <c r="A131" t="s">
        <v>173</v>
      </c>
      <c r="B131" s="40">
        <v>46220</v>
      </c>
      <c r="C131" t="s">
        <v>13</v>
      </c>
      <c r="D131" t="s">
        <v>39</v>
      </c>
      <c r="E131" t="s">
        <v>15</v>
      </c>
      <c r="F131" t="s">
        <v>40</v>
      </c>
      <c r="G131" t="s">
        <v>49</v>
      </c>
      <c r="H131" t="s">
        <v>18</v>
      </c>
      <c r="I131">
        <v>59</v>
      </c>
      <c r="J131">
        <v>145</v>
      </c>
      <c r="K131" t="s">
        <v>20</v>
      </c>
      <c r="L131" t="s">
        <v>24</v>
      </c>
    </row>
    <row r="132" spans="1:12">
      <c r="A132" t="s">
        <v>174</v>
      </c>
      <c r="B132" s="40">
        <v>46273</v>
      </c>
      <c r="C132" t="s">
        <v>26</v>
      </c>
      <c r="D132" t="s">
        <v>47</v>
      </c>
      <c r="E132" t="s">
        <v>48</v>
      </c>
      <c r="F132" t="s">
        <v>16</v>
      </c>
      <c r="G132" t="s">
        <v>45</v>
      </c>
      <c r="H132" t="s">
        <v>18</v>
      </c>
      <c r="I132">
        <v>14</v>
      </c>
      <c r="J132">
        <v>185</v>
      </c>
      <c r="K132" t="s">
        <v>19</v>
      </c>
      <c r="L132" t="s">
        <v>58</v>
      </c>
    </row>
    <row r="133" spans="1:12">
      <c r="A133" t="s">
        <v>175</v>
      </c>
      <c r="B133" s="40">
        <v>46241</v>
      </c>
      <c r="C133" t="s">
        <v>26</v>
      </c>
      <c r="D133" t="s">
        <v>32</v>
      </c>
      <c r="E133" t="s">
        <v>33</v>
      </c>
      <c r="F133" t="s">
        <v>16</v>
      </c>
      <c r="G133" t="s">
        <v>49</v>
      </c>
      <c r="H133" t="s">
        <v>18</v>
      </c>
      <c r="I133">
        <v>32</v>
      </c>
      <c r="J133">
        <v>145</v>
      </c>
      <c r="K133" t="s">
        <v>20</v>
      </c>
      <c r="L133" t="s">
        <v>24</v>
      </c>
    </row>
    <row r="134" spans="1:12">
      <c r="A134" t="s">
        <v>176</v>
      </c>
      <c r="B134" s="40">
        <v>46290</v>
      </c>
      <c r="C134" t="s">
        <v>52</v>
      </c>
      <c r="D134" t="s">
        <v>14</v>
      </c>
      <c r="E134" t="s">
        <v>15</v>
      </c>
      <c r="F134" t="s">
        <v>16</v>
      </c>
      <c r="G134" t="s">
        <v>45</v>
      </c>
      <c r="H134" t="s">
        <v>18</v>
      </c>
      <c r="I134">
        <v>16</v>
      </c>
      <c r="J134">
        <v>185</v>
      </c>
      <c r="K134" t="s">
        <v>20</v>
      </c>
      <c r="L134" t="s">
        <v>20</v>
      </c>
    </row>
    <row r="135" spans="1:12">
      <c r="A135" t="s">
        <v>177</v>
      </c>
      <c r="B135" s="40">
        <v>46219</v>
      </c>
      <c r="C135" t="s">
        <v>52</v>
      </c>
      <c r="D135" t="s">
        <v>78</v>
      </c>
      <c r="E135" t="s">
        <v>48</v>
      </c>
      <c r="F135" t="s">
        <v>28</v>
      </c>
      <c r="G135" t="s">
        <v>17</v>
      </c>
      <c r="H135" t="s">
        <v>18</v>
      </c>
      <c r="I135">
        <v>70</v>
      </c>
      <c r="J135">
        <v>260</v>
      </c>
      <c r="K135" t="s">
        <v>19</v>
      </c>
      <c r="L135" t="s">
        <v>20</v>
      </c>
    </row>
    <row r="136" spans="1:12">
      <c r="A136" t="s">
        <v>178</v>
      </c>
      <c r="B136" s="40">
        <v>46251</v>
      </c>
      <c r="C136" t="s">
        <v>13</v>
      </c>
      <c r="D136" t="s">
        <v>57</v>
      </c>
      <c r="E136" t="s">
        <v>15</v>
      </c>
      <c r="F136" t="s">
        <v>40</v>
      </c>
      <c r="G136" t="s">
        <v>23</v>
      </c>
      <c r="H136" t="s">
        <v>18</v>
      </c>
      <c r="I136">
        <v>26</v>
      </c>
      <c r="J136">
        <v>175</v>
      </c>
      <c r="K136" t="s">
        <v>19</v>
      </c>
      <c r="L136" t="s">
        <v>24</v>
      </c>
    </row>
    <row r="137" spans="1:12">
      <c r="A137" t="s">
        <v>179</v>
      </c>
      <c r="B137" s="40">
        <v>46232</v>
      </c>
      <c r="C137" t="s">
        <v>13</v>
      </c>
      <c r="D137" t="s">
        <v>53</v>
      </c>
      <c r="E137" t="s">
        <v>48</v>
      </c>
      <c r="F137" t="s">
        <v>28</v>
      </c>
      <c r="G137" t="s">
        <v>23</v>
      </c>
      <c r="H137" t="s">
        <v>18</v>
      </c>
      <c r="I137">
        <v>22</v>
      </c>
      <c r="J137">
        <v>175</v>
      </c>
      <c r="K137" t="s">
        <v>19</v>
      </c>
      <c r="L137" t="s">
        <v>24</v>
      </c>
    </row>
    <row r="138" spans="1:12">
      <c r="A138" t="s">
        <v>180</v>
      </c>
      <c r="B138" s="40">
        <v>46209</v>
      </c>
      <c r="C138" t="s">
        <v>13</v>
      </c>
      <c r="D138" t="s">
        <v>57</v>
      </c>
      <c r="E138" t="s">
        <v>15</v>
      </c>
      <c r="F138" t="s">
        <v>40</v>
      </c>
      <c r="G138" t="s">
        <v>29</v>
      </c>
      <c r="H138" t="s">
        <v>30</v>
      </c>
      <c r="I138">
        <v>28</v>
      </c>
      <c r="J138">
        <v>26</v>
      </c>
      <c r="K138" t="s">
        <v>19</v>
      </c>
      <c r="L138" t="s">
        <v>24</v>
      </c>
    </row>
    <row r="139" spans="1:12">
      <c r="A139" t="s">
        <v>181</v>
      </c>
      <c r="B139" s="40">
        <v>46251</v>
      </c>
      <c r="C139" t="s">
        <v>52</v>
      </c>
      <c r="D139" t="s">
        <v>14</v>
      </c>
      <c r="E139" t="s">
        <v>15</v>
      </c>
      <c r="F139" t="s">
        <v>16</v>
      </c>
      <c r="G139" t="s">
        <v>45</v>
      </c>
      <c r="H139" t="s">
        <v>18</v>
      </c>
      <c r="I139">
        <v>10</v>
      </c>
      <c r="J139">
        <v>185</v>
      </c>
      <c r="K139" t="s">
        <v>19</v>
      </c>
      <c r="L139" t="s">
        <v>20</v>
      </c>
    </row>
    <row r="140" spans="1:12">
      <c r="A140" t="s">
        <v>182</v>
      </c>
      <c r="B140" s="40">
        <v>46282</v>
      </c>
      <c r="C140" t="s">
        <v>52</v>
      </c>
      <c r="D140" t="s">
        <v>47</v>
      </c>
      <c r="E140" t="s">
        <v>48</v>
      </c>
      <c r="F140" t="s">
        <v>16</v>
      </c>
      <c r="G140" t="s">
        <v>29</v>
      </c>
      <c r="H140" t="s">
        <v>30</v>
      </c>
      <c r="I140">
        <v>8</v>
      </c>
      <c r="J140">
        <v>26</v>
      </c>
      <c r="K140" t="s">
        <v>20</v>
      </c>
      <c r="L140" t="s">
        <v>24</v>
      </c>
    </row>
    <row r="141" spans="1:12">
      <c r="A141" t="s">
        <v>183</v>
      </c>
      <c r="B141" s="40">
        <v>46234</v>
      </c>
      <c r="C141" t="s">
        <v>26</v>
      </c>
      <c r="D141" t="s">
        <v>78</v>
      </c>
      <c r="E141" t="s">
        <v>48</v>
      </c>
      <c r="F141" t="s">
        <v>28</v>
      </c>
      <c r="G141" t="s">
        <v>45</v>
      </c>
      <c r="H141" t="s">
        <v>18</v>
      </c>
      <c r="I141">
        <v>30</v>
      </c>
      <c r="J141">
        <v>185</v>
      </c>
      <c r="K141" t="s">
        <v>19</v>
      </c>
      <c r="L141" t="s">
        <v>20</v>
      </c>
    </row>
    <row r="142" spans="1:12">
      <c r="A142" t="s">
        <v>184</v>
      </c>
      <c r="B142" s="40">
        <v>46228</v>
      </c>
      <c r="C142" t="s">
        <v>13</v>
      </c>
      <c r="D142" t="s">
        <v>37</v>
      </c>
      <c r="E142" t="s">
        <v>33</v>
      </c>
      <c r="F142" t="s">
        <v>16</v>
      </c>
      <c r="G142" t="s">
        <v>29</v>
      </c>
      <c r="H142" t="s">
        <v>30</v>
      </c>
      <c r="I142">
        <v>53</v>
      </c>
      <c r="J142">
        <v>26</v>
      </c>
      <c r="K142" t="s">
        <v>20</v>
      </c>
      <c r="L142" t="s">
        <v>20</v>
      </c>
    </row>
    <row r="143" spans="1:12">
      <c r="A143" t="s">
        <v>185</v>
      </c>
      <c r="B143" s="40">
        <v>46280</v>
      </c>
      <c r="C143" t="s">
        <v>13</v>
      </c>
      <c r="D143" t="s">
        <v>14</v>
      </c>
      <c r="E143" t="s">
        <v>15</v>
      </c>
      <c r="F143" t="s">
        <v>16</v>
      </c>
      <c r="G143" t="s">
        <v>29</v>
      </c>
      <c r="H143" t="s">
        <v>30</v>
      </c>
      <c r="I143">
        <v>15</v>
      </c>
      <c r="J143">
        <v>26</v>
      </c>
      <c r="K143" t="s">
        <v>19</v>
      </c>
      <c r="L143" t="s">
        <v>24</v>
      </c>
    </row>
    <row r="144" spans="1:12">
      <c r="A144" t="s">
        <v>186</v>
      </c>
      <c r="B144" s="40">
        <v>46230</v>
      </c>
      <c r="C144" t="s">
        <v>22</v>
      </c>
      <c r="D144" t="s">
        <v>32</v>
      </c>
      <c r="E144" t="s">
        <v>33</v>
      </c>
      <c r="F144" t="s">
        <v>16</v>
      </c>
      <c r="G144" t="s">
        <v>23</v>
      </c>
      <c r="H144" t="s">
        <v>18</v>
      </c>
      <c r="I144">
        <v>71</v>
      </c>
      <c r="J144">
        <v>175</v>
      </c>
      <c r="K144" t="s">
        <v>20</v>
      </c>
      <c r="L144" t="s">
        <v>24</v>
      </c>
    </row>
    <row r="145" spans="1:12">
      <c r="A145" t="s">
        <v>187</v>
      </c>
      <c r="B145" s="40">
        <v>46222</v>
      </c>
      <c r="C145" t="s">
        <v>22</v>
      </c>
      <c r="D145" t="s">
        <v>32</v>
      </c>
      <c r="E145" t="s">
        <v>33</v>
      </c>
      <c r="F145" t="s">
        <v>16</v>
      </c>
      <c r="G145" t="s">
        <v>23</v>
      </c>
      <c r="H145" t="s">
        <v>18</v>
      </c>
      <c r="I145">
        <v>2</v>
      </c>
      <c r="J145">
        <v>175</v>
      </c>
      <c r="K145" t="s">
        <v>19</v>
      </c>
      <c r="L145" t="s">
        <v>20</v>
      </c>
    </row>
    <row r="146" spans="1:12">
      <c r="A146" t="s">
        <v>188</v>
      </c>
      <c r="B146" s="40">
        <v>46249</v>
      </c>
      <c r="C146" t="s">
        <v>22</v>
      </c>
      <c r="D146" t="s">
        <v>14</v>
      </c>
      <c r="E146" t="s">
        <v>15</v>
      </c>
      <c r="F146" t="s">
        <v>16</v>
      </c>
      <c r="G146" t="s">
        <v>29</v>
      </c>
      <c r="H146" t="s">
        <v>30</v>
      </c>
      <c r="I146">
        <v>3</v>
      </c>
      <c r="J146">
        <v>26</v>
      </c>
      <c r="K146" t="s">
        <v>19</v>
      </c>
      <c r="L146" t="s">
        <v>24</v>
      </c>
    </row>
    <row r="147" spans="1:12">
      <c r="A147" t="s">
        <v>189</v>
      </c>
      <c r="B147" s="40">
        <v>46271</v>
      </c>
      <c r="C147" t="s">
        <v>13</v>
      </c>
      <c r="D147" t="s">
        <v>57</v>
      </c>
      <c r="E147" t="s">
        <v>15</v>
      </c>
      <c r="F147" t="s">
        <v>40</v>
      </c>
      <c r="G147" t="s">
        <v>17</v>
      </c>
      <c r="H147" t="s">
        <v>18</v>
      </c>
      <c r="I147">
        <v>10</v>
      </c>
      <c r="J147">
        <v>260</v>
      </c>
      <c r="K147" t="s">
        <v>20</v>
      </c>
      <c r="L147" t="s">
        <v>24</v>
      </c>
    </row>
    <row r="148" spans="1:12">
      <c r="A148" t="s">
        <v>190</v>
      </c>
      <c r="B148" s="40">
        <v>46232</v>
      </c>
      <c r="C148" t="s">
        <v>13</v>
      </c>
      <c r="D148" t="s">
        <v>78</v>
      </c>
      <c r="E148" t="s">
        <v>48</v>
      </c>
      <c r="F148" t="s">
        <v>28</v>
      </c>
      <c r="G148" t="s">
        <v>23</v>
      </c>
      <c r="H148" t="s">
        <v>18</v>
      </c>
      <c r="I148">
        <v>8</v>
      </c>
      <c r="J148">
        <v>175</v>
      </c>
      <c r="K148" t="s">
        <v>20</v>
      </c>
      <c r="L148" t="s">
        <v>58</v>
      </c>
    </row>
    <row r="149" spans="1:12">
      <c r="A149" t="s">
        <v>191</v>
      </c>
      <c r="B149" s="40">
        <v>46207</v>
      </c>
      <c r="C149" t="s">
        <v>13</v>
      </c>
      <c r="D149" t="s">
        <v>37</v>
      </c>
      <c r="E149" t="s">
        <v>33</v>
      </c>
      <c r="F149" t="s">
        <v>16</v>
      </c>
      <c r="G149" t="s">
        <v>49</v>
      </c>
      <c r="H149" t="s">
        <v>18</v>
      </c>
      <c r="I149">
        <v>31</v>
      </c>
      <c r="J149">
        <v>145</v>
      </c>
      <c r="K149" t="s">
        <v>20</v>
      </c>
      <c r="L149" t="s">
        <v>20</v>
      </c>
    </row>
    <row r="150" spans="1:12">
      <c r="A150" t="s">
        <v>192</v>
      </c>
      <c r="B150" s="40">
        <v>46260</v>
      </c>
      <c r="C150" t="s">
        <v>13</v>
      </c>
      <c r="D150" t="s">
        <v>47</v>
      </c>
      <c r="E150" t="s">
        <v>48</v>
      </c>
      <c r="F150" t="s">
        <v>16</v>
      </c>
      <c r="G150" t="s">
        <v>29</v>
      </c>
      <c r="H150" t="s">
        <v>30</v>
      </c>
      <c r="I150">
        <v>8</v>
      </c>
      <c r="J150">
        <v>26</v>
      </c>
      <c r="K150" t="s">
        <v>20</v>
      </c>
      <c r="L150" t="s">
        <v>24</v>
      </c>
    </row>
    <row r="151" spans="1:12">
      <c r="A151" t="s">
        <v>193</v>
      </c>
      <c r="B151" s="40">
        <v>46285</v>
      </c>
      <c r="C151" t="s">
        <v>26</v>
      </c>
      <c r="D151" t="s">
        <v>32</v>
      </c>
      <c r="E151" t="s">
        <v>33</v>
      </c>
      <c r="F151" t="s">
        <v>16</v>
      </c>
      <c r="G151" t="s">
        <v>17</v>
      </c>
      <c r="H151" t="s">
        <v>18</v>
      </c>
      <c r="I151">
        <v>10</v>
      </c>
      <c r="J151">
        <v>260</v>
      </c>
      <c r="K151" t="s">
        <v>19</v>
      </c>
      <c r="L151" t="s">
        <v>24</v>
      </c>
    </row>
    <row r="152" spans="1:12">
      <c r="A152" t="s">
        <v>194</v>
      </c>
      <c r="B152" s="40">
        <v>46216</v>
      </c>
      <c r="C152" t="s">
        <v>13</v>
      </c>
      <c r="D152" t="s">
        <v>57</v>
      </c>
      <c r="E152" t="s">
        <v>15</v>
      </c>
      <c r="F152" t="s">
        <v>40</v>
      </c>
      <c r="G152" t="s">
        <v>35</v>
      </c>
      <c r="H152" t="s">
        <v>30</v>
      </c>
      <c r="I152">
        <v>34</v>
      </c>
      <c r="J152">
        <v>210</v>
      </c>
      <c r="K152" t="s">
        <v>20</v>
      </c>
      <c r="L152" t="s">
        <v>24</v>
      </c>
    </row>
    <row r="153" spans="1:12">
      <c r="A153" t="s">
        <v>195</v>
      </c>
      <c r="B153" s="40">
        <v>46233</v>
      </c>
      <c r="C153" t="s">
        <v>52</v>
      </c>
      <c r="D153" t="s">
        <v>37</v>
      </c>
      <c r="E153" t="s">
        <v>33</v>
      </c>
      <c r="F153" t="s">
        <v>16</v>
      </c>
      <c r="G153" t="s">
        <v>29</v>
      </c>
      <c r="H153" t="s">
        <v>30</v>
      </c>
      <c r="I153">
        <v>15</v>
      </c>
      <c r="J153">
        <v>26</v>
      </c>
      <c r="K153" t="s">
        <v>19</v>
      </c>
      <c r="L153" t="s">
        <v>24</v>
      </c>
    </row>
    <row r="154" spans="1:12">
      <c r="A154" t="s">
        <v>196</v>
      </c>
      <c r="B154" s="40">
        <v>46244</v>
      </c>
      <c r="C154" t="s">
        <v>26</v>
      </c>
      <c r="D154" t="s">
        <v>47</v>
      </c>
      <c r="E154" t="s">
        <v>48</v>
      </c>
      <c r="F154" t="s">
        <v>16</v>
      </c>
      <c r="G154" t="s">
        <v>29</v>
      </c>
      <c r="H154" t="s">
        <v>30</v>
      </c>
      <c r="I154">
        <v>8</v>
      </c>
      <c r="J154">
        <v>26</v>
      </c>
      <c r="K154" t="s">
        <v>19</v>
      </c>
      <c r="L154" t="s">
        <v>24</v>
      </c>
    </row>
    <row r="155" spans="1:12">
      <c r="A155" t="s">
        <v>197</v>
      </c>
      <c r="B155" s="40">
        <v>46215</v>
      </c>
      <c r="C155" t="s">
        <v>52</v>
      </c>
      <c r="D155" t="s">
        <v>42</v>
      </c>
      <c r="E155" t="s">
        <v>15</v>
      </c>
      <c r="F155" t="s">
        <v>40</v>
      </c>
      <c r="G155" t="s">
        <v>17</v>
      </c>
      <c r="H155" t="s">
        <v>18</v>
      </c>
      <c r="I155">
        <v>7</v>
      </c>
      <c r="J155">
        <v>260</v>
      </c>
      <c r="K155" t="s">
        <v>19</v>
      </c>
      <c r="L155" t="s">
        <v>20</v>
      </c>
    </row>
    <row r="156" spans="1:12">
      <c r="A156" t="s">
        <v>198</v>
      </c>
      <c r="B156" s="40">
        <v>46275</v>
      </c>
      <c r="C156" t="s">
        <v>26</v>
      </c>
      <c r="D156" t="s">
        <v>32</v>
      </c>
      <c r="E156" t="s">
        <v>33</v>
      </c>
      <c r="F156" t="s">
        <v>16</v>
      </c>
      <c r="G156" t="s">
        <v>23</v>
      </c>
      <c r="H156" t="s">
        <v>18</v>
      </c>
      <c r="I156">
        <v>5</v>
      </c>
      <c r="J156">
        <v>175</v>
      </c>
      <c r="K156" t="s">
        <v>19</v>
      </c>
      <c r="L156" t="s">
        <v>24</v>
      </c>
    </row>
    <row r="157" spans="1:12">
      <c r="A157" t="s">
        <v>199</v>
      </c>
      <c r="B157" s="40">
        <v>46280</v>
      </c>
      <c r="C157" t="s">
        <v>26</v>
      </c>
      <c r="D157" t="s">
        <v>47</v>
      </c>
      <c r="E157" t="s">
        <v>48</v>
      </c>
      <c r="F157" t="s">
        <v>16</v>
      </c>
      <c r="G157" t="s">
        <v>29</v>
      </c>
      <c r="H157" t="s">
        <v>30</v>
      </c>
      <c r="I157">
        <v>5</v>
      </c>
      <c r="J157">
        <v>26</v>
      </c>
      <c r="K157" t="s">
        <v>19</v>
      </c>
      <c r="L157" t="s">
        <v>24</v>
      </c>
    </row>
    <row r="158" spans="1:12">
      <c r="A158" t="s">
        <v>200</v>
      </c>
      <c r="B158" s="40">
        <v>46217</v>
      </c>
      <c r="C158" t="s">
        <v>26</v>
      </c>
      <c r="D158" t="s">
        <v>27</v>
      </c>
      <c r="E158" t="s">
        <v>15</v>
      </c>
      <c r="F158" t="s">
        <v>28</v>
      </c>
      <c r="G158" t="s">
        <v>45</v>
      </c>
      <c r="H158" t="s">
        <v>18</v>
      </c>
      <c r="I158">
        <v>32</v>
      </c>
      <c r="J158">
        <v>185</v>
      </c>
      <c r="K158" t="s">
        <v>20</v>
      </c>
      <c r="L158" t="s">
        <v>24</v>
      </c>
    </row>
    <row r="159" spans="1:12">
      <c r="A159" t="s">
        <v>201</v>
      </c>
      <c r="B159" s="40">
        <v>46275</v>
      </c>
      <c r="C159" t="s">
        <v>13</v>
      </c>
      <c r="D159" t="s">
        <v>57</v>
      </c>
      <c r="E159" t="s">
        <v>15</v>
      </c>
      <c r="F159" t="s">
        <v>40</v>
      </c>
      <c r="G159" t="s">
        <v>23</v>
      </c>
      <c r="H159" t="s">
        <v>18</v>
      </c>
      <c r="I159">
        <v>16</v>
      </c>
      <c r="J159">
        <v>175</v>
      </c>
      <c r="K159" t="s">
        <v>19</v>
      </c>
      <c r="L159" t="s">
        <v>24</v>
      </c>
    </row>
    <row r="160" spans="1:12">
      <c r="A160" t="s">
        <v>202</v>
      </c>
      <c r="B160" s="40">
        <v>46243</v>
      </c>
      <c r="C160" t="s">
        <v>26</v>
      </c>
      <c r="D160" t="s">
        <v>57</v>
      </c>
      <c r="E160" t="s">
        <v>15</v>
      </c>
      <c r="F160" t="s">
        <v>40</v>
      </c>
      <c r="G160" t="s">
        <v>17</v>
      </c>
      <c r="H160" t="s">
        <v>18</v>
      </c>
      <c r="I160">
        <v>13</v>
      </c>
      <c r="J160">
        <v>260</v>
      </c>
      <c r="K160" t="s">
        <v>19</v>
      </c>
      <c r="L160" t="s">
        <v>24</v>
      </c>
    </row>
    <row r="161" spans="1:12">
      <c r="A161" t="s">
        <v>203</v>
      </c>
      <c r="B161" s="40">
        <v>46207</v>
      </c>
      <c r="C161" t="s">
        <v>13</v>
      </c>
      <c r="D161" t="s">
        <v>32</v>
      </c>
      <c r="E161" t="s">
        <v>33</v>
      </c>
      <c r="F161" t="s">
        <v>16</v>
      </c>
      <c r="G161" t="s">
        <v>23</v>
      </c>
      <c r="H161" t="s">
        <v>18</v>
      </c>
      <c r="I161">
        <v>76</v>
      </c>
      <c r="J161">
        <v>175</v>
      </c>
      <c r="K161" t="s">
        <v>20</v>
      </c>
      <c r="L161" t="s">
        <v>24</v>
      </c>
    </row>
    <row r="162" spans="1:12">
      <c r="A162" t="s">
        <v>204</v>
      </c>
      <c r="B162" s="40">
        <v>46243</v>
      </c>
      <c r="C162" t="s">
        <v>26</v>
      </c>
      <c r="D162" t="s">
        <v>47</v>
      </c>
      <c r="E162" t="s">
        <v>48</v>
      </c>
      <c r="F162" t="s">
        <v>16</v>
      </c>
      <c r="G162" t="s">
        <v>35</v>
      </c>
      <c r="H162" t="s">
        <v>30</v>
      </c>
      <c r="I162">
        <v>23</v>
      </c>
      <c r="J162">
        <v>210</v>
      </c>
      <c r="K162" t="s">
        <v>20</v>
      </c>
      <c r="L162" t="s">
        <v>24</v>
      </c>
    </row>
    <row r="163" spans="1:12">
      <c r="A163" t="s">
        <v>205</v>
      </c>
      <c r="B163" s="40">
        <v>46283</v>
      </c>
      <c r="C163" t="s">
        <v>13</v>
      </c>
      <c r="D163" t="s">
        <v>14</v>
      </c>
      <c r="E163" t="s">
        <v>15</v>
      </c>
      <c r="F163" t="s">
        <v>16</v>
      </c>
      <c r="G163" t="s">
        <v>17</v>
      </c>
      <c r="H163" t="s">
        <v>18</v>
      </c>
      <c r="I163">
        <v>11</v>
      </c>
      <c r="J163">
        <v>260</v>
      </c>
      <c r="K163" t="s">
        <v>19</v>
      </c>
      <c r="L163" t="s">
        <v>24</v>
      </c>
    </row>
    <row r="164" spans="1:12">
      <c r="A164" t="s">
        <v>206</v>
      </c>
      <c r="B164" s="40">
        <v>46231</v>
      </c>
      <c r="C164" t="s">
        <v>13</v>
      </c>
      <c r="D164" t="s">
        <v>47</v>
      </c>
      <c r="E164" t="s">
        <v>48</v>
      </c>
      <c r="F164" t="s">
        <v>16</v>
      </c>
      <c r="G164" t="s">
        <v>35</v>
      </c>
      <c r="H164" t="s">
        <v>30</v>
      </c>
      <c r="I164">
        <v>30</v>
      </c>
      <c r="J164">
        <v>210</v>
      </c>
      <c r="K164" t="s">
        <v>19</v>
      </c>
      <c r="L164" t="s">
        <v>24</v>
      </c>
    </row>
    <row r="165" spans="1:12">
      <c r="A165" t="s">
        <v>207</v>
      </c>
      <c r="B165" s="40">
        <v>46209</v>
      </c>
      <c r="C165" t="s">
        <v>22</v>
      </c>
      <c r="D165" t="s">
        <v>53</v>
      </c>
      <c r="E165" t="s">
        <v>48</v>
      </c>
      <c r="F165" t="s">
        <v>28</v>
      </c>
      <c r="G165" t="s">
        <v>35</v>
      </c>
      <c r="H165" t="s">
        <v>30</v>
      </c>
      <c r="I165">
        <v>35</v>
      </c>
      <c r="J165">
        <v>210</v>
      </c>
      <c r="K165" t="s">
        <v>19</v>
      </c>
      <c r="L165" t="s">
        <v>24</v>
      </c>
    </row>
    <row r="166" spans="1:12">
      <c r="A166" t="s">
        <v>208</v>
      </c>
      <c r="B166" s="40">
        <v>46221</v>
      </c>
      <c r="C166" t="s">
        <v>26</v>
      </c>
      <c r="D166" t="s">
        <v>39</v>
      </c>
      <c r="E166" t="s">
        <v>15</v>
      </c>
      <c r="F166" t="s">
        <v>40</v>
      </c>
      <c r="G166" t="s">
        <v>45</v>
      </c>
      <c r="H166" t="s">
        <v>18</v>
      </c>
      <c r="I166">
        <v>21</v>
      </c>
      <c r="J166">
        <v>185</v>
      </c>
      <c r="K166" t="s">
        <v>19</v>
      </c>
      <c r="L166" t="s">
        <v>24</v>
      </c>
    </row>
    <row r="167" spans="1:12">
      <c r="A167" t="s">
        <v>209</v>
      </c>
      <c r="B167" s="40">
        <v>46252</v>
      </c>
      <c r="C167" t="s">
        <v>22</v>
      </c>
      <c r="D167" t="s">
        <v>42</v>
      </c>
      <c r="E167" t="s">
        <v>15</v>
      </c>
      <c r="F167" t="s">
        <v>40</v>
      </c>
      <c r="G167" t="s">
        <v>29</v>
      </c>
      <c r="H167" t="s">
        <v>30</v>
      </c>
      <c r="I167">
        <v>29</v>
      </c>
      <c r="J167">
        <v>26</v>
      </c>
      <c r="K167" t="s">
        <v>19</v>
      </c>
      <c r="L167" t="s">
        <v>20</v>
      </c>
    </row>
    <row r="168" spans="1:12">
      <c r="A168" t="s">
        <v>210</v>
      </c>
      <c r="B168" s="40">
        <v>46209</v>
      </c>
      <c r="C168" t="s">
        <v>52</v>
      </c>
      <c r="D168" t="s">
        <v>78</v>
      </c>
      <c r="E168" t="s">
        <v>48</v>
      </c>
      <c r="F168" t="s">
        <v>28</v>
      </c>
      <c r="G168" t="s">
        <v>17</v>
      </c>
      <c r="H168" t="s">
        <v>18</v>
      </c>
      <c r="I168">
        <v>27</v>
      </c>
      <c r="J168">
        <v>260</v>
      </c>
      <c r="K168" t="s">
        <v>19</v>
      </c>
      <c r="L168" t="s">
        <v>58</v>
      </c>
    </row>
    <row r="169" spans="1:12">
      <c r="A169" t="s">
        <v>211</v>
      </c>
      <c r="B169" s="40">
        <v>46294</v>
      </c>
      <c r="C169" t="s">
        <v>52</v>
      </c>
      <c r="D169" t="s">
        <v>78</v>
      </c>
      <c r="E169" t="s">
        <v>48</v>
      </c>
      <c r="F169" t="s">
        <v>28</v>
      </c>
      <c r="G169" t="s">
        <v>23</v>
      </c>
      <c r="H169" t="s">
        <v>18</v>
      </c>
      <c r="I169">
        <v>29</v>
      </c>
      <c r="J169">
        <v>175</v>
      </c>
      <c r="K169" t="s">
        <v>19</v>
      </c>
      <c r="L169" t="s">
        <v>24</v>
      </c>
    </row>
    <row r="170" spans="1:12">
      <c r="A170" t="s">
        <v>212</v>
      </c>
      <c r="B170" s="40">
        <v>46250</v>
      </c>
      <c r="C170" t="s">
        <v>13</v>
      </c>
      <c r="D170" t="s">
        <v>78</v>
      </c>
      <c r="E170" t="s">
        <v>48</v>
      </c>
      <c r="F170" t="s">
        <v>28</v>
      </c>
      <c r="G170" t="s">
        <v>45</v>
      </c>
      <c r="H170" t="s">
        <v>18</v>
      </c>
      <c r="I170">
        <v>31</v>
      </c>
      <c r="J170">
        <v>185</v>
      </c>
      <c r="K170" t="s">
        <v>19</v>
      </c>
      <c r="L170" t="s">
        <v>24</v>
      </c>
    </row>
    <row r="171" spans="1:12">
      <c r="A171" t="s">
        <v>213</v>
      </c>
      <c r="B171" s="40">
        <v>46254</v>
      </c>
      <c r="C171" t="s">
        <v>26</v>
      </c>
      <c r="D171" t="s">
        <v>47</v>
      </c>
      <c r="E171" t="s">
        <v>48</v>
      </c>
      <c r="F171" t="s">
        <v>16</v>
      </c>
      <c r="G171" t="s">
        <v>23</v>
      </c>
      <c r="H171" t="s">
        <v>18</v>
      </c>
      <c r="I171">
        <v>27</v>
      </c>
      <c r="J171">
        <v>175</v>
      </c>
      <c r="K171" t="s">
        <v>20</v>
      </c>
      <c r="L171" t="s">
        <v>24</v>
      </c>
    </row>
    <row r="172" spans="1:12">
      <c r="A172" t="s">
        <v>214</v>
      </c>
      <c r="B172" s="40">
        <v>46271</v>
      </c>
      <c r="C172" t="s">
        <v>22</v>
      </c>
      <c r="D172" t="s">
        <v>32</v>
      </c>
      <c r="E172" t="s">
        <v>33</v>
      </c>
      <c r="F172" t="s">
        <v>16</v>
      </c>
      <c r="G172" t="s">
        <v>17</v>
      </c>
      <c r="H172" t="s">
        <v>18</v>
      </c>
      <c r="I172">
        <v>34</v>
      </c>
      <c r="J172">
        <v>260</v>
      </c>
      <c r="K172" t="s">
        <v>20</v>
      </c>
      <c r="L172" t="s">
        <v>24</v>
      </c>
    </row>
    <row r="173" spans="1:12">
      <c r="A173" t="s">
        <v>215</v>
      </c>
      <c r="B173" s="40">
        <v>46229</v>
      </c>
      <c r="C173" t="s">
        <v>22</v>
      </c>
      <c r="D173" t="s">
        <v>32</v>
      </c>
      <c r="E173" t="s">
        <v>33</v>
      </c>
      <c r="F173" t="s">
        <v>16</v>
      </c>
      <c r="G173" t="s">
        <v>45</v>
      </c>
      <c r="H173" t="s">
        <v>18</v>
      </c>
      <c r="I173">
        <v>8</v>
      </c>
      <c r="J173">
        <v>185</v>
      </c>
      <c r="K173" t="s">
        <v>19</v>
      </c>
      <c r="L173" t="s">
        <v>20</v>
      </c>
    </row>
    <row r="174" spans="1:12">
      <c r="A174" t="s">
        <v>216</v>
      </c>
      <c r="B174" s="40">
        <v>46276</v>
      </c>
      <c r="C174" t="s">
        <v>52</v>
      </c>
      <c r="D174" t="s">
        <v>14</v>
      </c>
      <c r="E174" t="s">
        <v>15</v>
      </c>
      <c r="F174" t="s">
        <v>16</v>
      </c>
      <c r="G174" t="s">
        <v>45</v>
      </c>
      <c r="H174" t="s">
        <v>18</v>
      </c>
      <c r="I174">
        <v>33</v>
      </c>
      <c r="J174">
        <v>185</v>
      </c>
      <c r="K174" t="s">
        <v>19</v>
      </c>
      <c r="L174" t="s">
        <v>20</v>
      </c>
    </row>
    <row r="175" spans="1:12">
      <c r="A175" t="s">
        <v>217</v>
      </c>
      <c r="B175" s="40">
        <v>46212</v>
      </c>
      <c r="C175" t="s">
        <v>52</v>
      </c>
      <c r="D175" t="s">
        <v>53</v>
      </c>
      <c r="E175" t="s">
        <v>48</v>
      </c>
      <c r="F175" t="s">
        <v>28</v>
      </c>
      <c r="G175" t="s">
        <v>49</v>
      </c>
      <c r="H175" t="s">
        <v>18</v>
      </c>
      <c r="I175">
        <v>22</v>
      </c>
      <c r="J175">
        <v>145</v>
      </c>
      <c r="K175" t="s">
        <v>19</v>
      </c>
      <c r="L175" t="s">
        <v>24</v>
      </c>
    </row>
    <row r="176" spans="1:12">
      <c r="A176" t="s">
        <v>218</v>
      </c>
      <c r="B176" s="40">
        <v>46213</v>
      </c>
      <c r="C176" t="s">
        <v>26</v>
      </c>
      <c r="D176" t="s">
        <v>57</v>
      </c>
      <c r="E176" t="s">
        <v>15</v>
      </c>
      <c r="F176" t="s">
        <v>40</v>
      </c>
      <c r="G176" t="s">
        <v>23</v>
      </c>
      <c r="H176" t="s">
        <v>18</v>
      </c>
      <c r="I176">
        <v>5</v>
      </c>
      <c r="J176">
        <v>175</v>
      </c>
      <c r="K176" t="s">
        <v>19</v>
      </c>
      <c r="L176" t="s">
        <v>24</v>
      </c>
    </row>
    <row r="177" spans="1:12">
      <c r="A177" t="s">
        <v>219</v>
      </c>
      <c r="B177" s="40">
        <v>46215</v>
      </c>
      <c r="C177" t="s">
        <v>52</v>
      </c>
      <c r="D177" t="s">
        <v>78</v>
      </c>
      <c r="E177" t="s">
        <v>48</v>
      </c>
      <c r="F177" t="s">
        <v>28</v>
      </c>
      <c r="G177" t="s">
        <v>49</v>
      </c>
      <c r="H177" t="s">
        <v>18</v>
      </c>
      <c r="I177">
        <v>6</v>
      </c>
      <c r="J177">
        <v>145</v>
      </c>
      <c r="K177" t="s">
        <v>19</v>
      </c>
      <c r="L177" t="s">
        <v>24</v>
      </c>
    </row>
    <row r="178" spans="1:12">
      <c r="A178" t="s">
        <v>220</v>
      </c>
      <c r="B178" s="40">
        <v>46264</v>
      </c>
      <c r="C178" t="s">
        <v>22</v>
      </c>
      <c r="D178" t="s">
        <v>39</v>
      </c>
      <c r="E178" t="s">
        <v>15</v>
      </c>
      <c r="F178" t="s">
        <v>40</v>
      </c>
      <c r="G178" t="s">
        <v>35</v>
      </c>
      <c r="H178" t="s">
        <v>30</v>
      </c>
      <c r="I178">
        <v>14</v>
      </c>
      <c r="J178">
        <v>210</v>
      </c>
      <c r="K178" t="s">
        <v>20</v>
      </c>
      <c r="L178" t="s">
        <v>24</v>
      </c>
    </row>
    <row r="179" spans="1:12">
      <c r="A179" t="s">
        <v>221</v>
      </c>
      <c r="B179" s="40">
        <v>46226</v>
      </c>
      <c r="C179" t="s">
        <v>13</v>
      </c>
      <c r="D179" t="s">
        <v>78</v>
      </c>
      <c r="E179" t="s">
        <v>48</v>
      </c>
      <c r="F179" t="s">
        <v>28</v>
      </c>
      <c r="G179" t="s">
        <v>29</v>
      </c>
      <c r="H179" t="s">
        <v>30</v>
      </c>
      <c r="I179">
        <v>7</v>
      </c>
      <c r="J179">
        <v>26</v>
      </c>
      <c r="K179" t="s">
        <v>19</v>
      </c>
      <c r="L179" t="s">
        <v>24</v>
      </c>
    </row>
    <row r="180" spans="1:12">
      <c r="A180" t="s">
        <v>222</v>
      </c>
      <c r="B180" s="40">
        <v>46250</v>
      </c>
      <c r="C180" t="s">
        <v>26</v>
      </c>
      <c r="D180" t="s">
        <v>42</v>
      </c>
      <c r="E180" t="s">
        <v>15</v>
      </c>
      <c r="F180" t="s">
        <v>40</v>
      </c>
      <c r="G180" t="s">
        <v>23</v>
      </c>
      <c r="H180" t="s">
        <v>18</v>
      </c>
      <c r="I180">
        <v>35</v>
      </c>
      <c r="J180">
        <v>175</v>
      </c>
      <c r="K180" t="s">
        <v>20</v>
      </c>
      <c r="L180" t="s">
        <v>24</v>
      </c>
    </row>
    <row r="181" spans="1:12">
      <c r="A181" t="s">
        <v>223</v>
      </c>
      <c r="B181" s="40">
        <v>46286</v>
      </c>
      <c r="C181" t="s">
        <v>26</v>
      </c>
      <c r="D181" t="s">
        <v>78</v>
      </c>
      <c r="E181" t="s">
        <v>48</v>
      </c>
      <c r="F181" t="s">
        <v>28</v>
      </c>
      <c r="G181" t="s">
        <v>29</v>
      </c>
      <c r="H181" t="s">
        <v>30</v>
      </c>
      <c r="I181">
        <v>5</v>
      </c>
      <c r="J181">
        <v>26</v>
      </c>
      <c r="K181" t="s">
        <v>19</v>
      </c>
      <c r="L181" t="s">
        <v>24</v>
      </c>
    </row>
    <row r="182" spans="1:12">
      <c r="A182" t="s">
        <v>224</v>
      </c>
      <c r="B182" s="40">
        <v>46288</v>
      </c>
      <c r="C182" t="s">
        <v>22</v>
      </c>
      <c r="D182" t="s">
        <v>47</v>
      </c>
      <c r="E182" t="s">
        <v>48</v>
      </c>
      <c r="F182" t="s">
        <v>16</v>
      </c>
      <c r="G182" t="s">
        <v>49</v>
      </c>
      <c r="H182" t="s">
        <v>18</v>
      </c>
      <c r="I182">
        <v>18</v>
      </c>
      <c r="J182">
        <v>145</v>
      </c>
      <c r="K182" t="s">
        <v>19</v>
      </c>
      <c r="L182" t="s">
        <v>24</v>
      </c>
    </row>
    <row r="183" spans="1:12">
      <c r="A183" t="s">
        <v>225</v>
      </c>
      <c r="B183" s="40">
        <v>46293</v>
      </c>
      <c r="C183" t="s">
        <v>52</v>
      </c>
      <c r="D183" t="s">
        <v>32</v>
      </c>
      <c r="E183" t="s">
        <v>33</v>
      </c>
      <c r="F183" t="s">
        <v>16</v>
      </c>
      <c r="G183" t="s">
        <v>49</v>
      </c>
      <c r="H183" t="s">
        <v>18</v>
      </c>
      <c r="I183">
        <v>21</v>
      </c>
      <c r="J183">
        <v>145</v>
      </c>
      <c r="K183" t="s">
        <v>19</v>
      </c>
      <c r="L183" t="s">
        <v>20</v>
      </c>
    </row>
    <row r="184" spans="1:12">
      <c r="A184" t="s">
        <v>226</v>
      </c>
      <c r="B184" s="40">
        <v>46246</v>
      </c>
      <c r="C184" t="s">
        <v>22</v>
      </c>
      <c r="D184" t="s">
        <v>14</v>
      </c>
      <c r="E184" t="s">
        <v>15</v>
      </c>
      <c r="F184" t="s">
        <v>16</v>
      </c>
      <c r="G184" t="s">
        <v>49</v>
      </c>
      <c r="H184" t="s">
        <v>18</v>
      </c>
      <c r="I184">
        <v>26</v>
      </c>
      <c r="J184">
        <v>145</v>
      </c>
      <c r="K184" t="s">
        <v>19</v>
      </c>
      <c r="L184" t="s">
        <v>20</v>
      </c>
    </row>
    <row r="185" spans="1:12">
      <c r="A185" t="s">
        <v>227</v>
      </c>
      <c r="B185" s="40">
        <v>46206</v>
      </c>
      <c r="C185" t="s">
        <v>26</v>
      </c>
      <c r="D185" t="s">
        <v>37</v>
      </c>
      <c r="E185" t="s">
        <v>33</v>
      </c>
      <c r="F185" t="s">
        <v>16</v>
      </c>
      <c r="G185" t="s">
        <v>17</v>
      </c>
      <c r="H185" t="s">
        <v>18</v>
      </c>
      <c r="I185">
        <v>29</v>
      </c>
      <c r="J185">
        <v>260</v>
      </c>
      <c r="K185" t="s">
        <v>19</v>
      </c>
      <c r="L185" t="s">
        <v>58</v>
      </c>
    </row>
    <row r="186" spans="1:12">
      <c r="A186" t="s">
        <v>228</v>
      </c>
      <c r="B186" s="40">
        <v>46221</v>
      </c>
      <c r="C186" t="s">
        <v>22</v>
      </c>
      <c r="D186" t="s">
        <v>78</v>
      </c>
      <c r="E186" t="s">
        <v>48</v>
      </c>
      <c r="F186" t="s">
        <v>28</v>
      </c>
      <c r="G186" t="s">
        <v>35</v>
      </c>
      <c r="H186" t="s">
        <v>30</v>
      </c>
      <c r="I186">
        <v>14</v>
      </c>
      <c r="J186">
        <v>210</v>
      </c>
      <c r="K186" t="s">
        <v>19</v>
      </c>
      <c r="L186" t="s">
        <v>20</v>
      </c>
    </row>
    <row r="187" spans="1:12">
      <c r="A187" t="s">
        <v>229</v>
      </c>
      <c r="B187" s="40">
        <v>46283</v>
      </c>
      <c r="C187" t="s">
        <v>22</v>
      </c>
      <c r="D187" t="s">
        <v>14</v>
      </c>
      <c r="E187" t="s">
        <v>15</v>
      </c>
      <c r="F187" t="s">
        <v>16</v>
      </c>
      <c r="G187" t="s">
        <v>23</v>
      </c>
      <c r="H187" t="s">
        <v>18</v>
      </c>
      <c r="I187">
        <v>57</v>
      </c>
      <c r="J187">
        <v>175</v>
      </c>
      <c r="K187" t="s">
        <v>19</v>
      </c>
      <c r="L187" t="s">
        <v>24</v>
      </c>
    </row>
    <row r="188" spans="1:12">
      <c r="A188" t="s">
        <v>230</v>
      </c>
      <c r="B188" s="40">
        <v>46209</v>
      </c>
      <c r="C188" t="s">
        <v>52</v>
      </c>
      <c r="D188" t="s">
        <v>32</v>
      </c>
      <c r="E188" t="s">
        <v>33</v>
      </c>
      <c r="F188" t="s">
        <v>16</v>
      </c>
      <c r="G188" t="s">
        <v>29</v>
      </c>
      <c r="H188" t="s">
        <v>30</v>
      </c>
      <c r="I188">
        <v>12</v>
      </c>
      <c r="J188">
        <v>26</v>
      </c>
      <c r="K188" t="s">
        <v>19</v>
      </c>
      <c r="L188" t="s">
        <v>20</v>
      </c>
    </row>
    <row r="189" spans="1:12">
      <c r="A189" t="s">
        <v>231</v>
      </c>
      <c r="B189" s="40">
        <v>46261</v>
      </c>
      <c r="C189" t="s">
        <v>22</v>
      </c>
      <c r="D189" t="s">
        <v>42</v>
      </c>
      <c r="E189" t="s">
        <v>15</v>
      </c>
      <c r="F189" t="s">
        <v>40</v>
      </c>
      <c r="G189" t="s">
        <v>23</v>
      </c>
      <c r="H189" t="s">
        <v>18</v>
      </c>
      <c r="I189">
        <v>20</v>
      </c>
      <c r="J189">
        <v>175</v>
      </c>
      <c r="K189" t="s">
        <v>19</v>
      </c>
      <c r="L189" t="s">
        <v>24</v>
      </c>
    </row>
    <row r="190" spans="1:12">
      <c r="A190" t="s">
        <v>232</v>
      </c>
      <c r="B190" s="40">
        <v>46277</v>
      </c>
      <c r="C190" t="s">
        <v>52</v>
      </c>
      <c r="D190" t="s">
        <v>42</v>
      </c>
      <c r="E190" t="s">
        <v>15</v>
      </c>
      <c r="F190" t="s">
        <v>40</v>
      </c>
      <c r="G190" t="s">
        <v>45</v>
      </c>
      <c r="H190" t="s">
        <v>18</v>
      </c>
      <c r="I190">
        <v>25</v>
      </c>
      <c r="J190">
        <v>185</v>
      </c>
      <c r="K190" t="s">
        <v>19</v>
      </c>
      <c r="L190" t="s">
        <v>24</v>
      </c>
    </row>
    <row r="191" spans="1:12">
      <c r="A191" t="s">
        <v>233</v>
      </c>
      <c r="B191" s="40">
        <v>46224</v>
      </c>
      <c r="C191" t="s">
        <v>22</v>
      </c>
      <c r="D191" t="s">
        <v>47</v>
      </c>
      <c r="E191" t="s">
        <v>48</v>
      </c>
      <c r="F191" t="s">
        <v>16</v>
      </c>
      <c r="G191" t="s">
        <v>23</v>
      </c>
      <c r="H191" t="s">
        <v>18</v>
      </c>
      <c r="I191">
        <v>35</v>
      </c>
      <c r="J191">
        <v>175</v>
      </c>
      <c r="K191" t="s">
        <v>20</v>
      </c>
      <c r="L191" t="s">
        <v>24</v>
      </c>
    </row>
    <row r="192" spans="1:12">
      <c r="A192" t="s">
        <v>234</v>
      </c>
      <c r="B192" s="40">
        <v>46274</v>
      </c>
      <c r="C192" t="s">
        <v>13</v>
      </c>
      <c r="D192" t="s">
        <v>57</v>
      </c>
      <c r="E192" t="s">
        <v>15</v>
      </c>
      <c r="F192" t="s">
        <v>40</v>
      </c>
      <c r="G192" t="s">
        <v>17</v>
      </c>
      <c r="H192" t="s">
        <v>18</v>
      </c>
      <c r="I192">
        <v>32</v>
      </c>
      <c r="J192">
        <v>260</v>
      </c>
      <c r="K192" t="s">
        <v>19</v>
      </c>
      <c r="L192" t="s">
        <v>24</v>
      </c>
    </row>
    <row r="193" spans="1:12">
      <c r="A193" t="s">
        <v>235</v>
      </c>
      <c r="B193" s="40">
        <v>46238</v>
      </c>
      <c r="C193" t="s">
        <v>52</v>
      </c>
      <c r="D193" t="s">
        <v>14</v>
      </c>
      <c r="E193" t="s">
        <v>15</v>
      </c>
      <c r="F193" t="s">
        <v>16</v>
      </c>
      <c r="G193" t="s">
        <v>49</v>
      </c>
      <c r="H193" t="s">
        <v>18</v>
      </c>
      <c r="I193">
        <v>7</v>
      </c>
      <c r="J193">
        <v>145</v>
      </c>
      <c r="K193" t="s">
        <v>20</v>
      </c>
      <c r="L193" t="s">
        <v>24</v>
      </c>
    </row>
    <row r="194" spans="1:12">
      <c r="A194" t="s">
        <v>236</v>
      </c>
      <c r="B194" s="40">
        <v>46248</v>
      </c>
      <c r="C194" t="s">
        <v>13</v>
      </c>
      <c r="D194" t="s">
        <v>47</v>
      </c>
      <c r="E194" t="s">
        <v>48</v>
      </c>
      <c r="F194" t="s">
        <v>16</v>
      </c>
      <c r="G194" t="s">
        <v>17</v>
      </c>
      <c r="H194" t="s">
        <v>18</v>
      </c>
      <c r="I194">
        <v>16</v>
      </c>
      <c r="J194">
        <v>260</v>
      </c>
      <c r="K194" t="s">
        <v>19</v>
      </c>
      <c r="L194" t="s">
        <v>24</v>
      </c>
    </row>
    <row r="195" spans="1:12">
      <c r="A195" t="s">
        <v>237</v>
      </c>
      <c r="B195" s="40">
        <v>46251</v>
      </c>
      <c r="C195" t="s">
        <v>22</v>
      </c>
      <c r="D195" t="s">
        <v>78</v>
      </c>
      <c r="E195" t="s">
        <v>48</v>
      </c>
      <c r="F195" t="s">
        <v>28</v>
      </c>
      <c r="G195" t="s">
        <v>45</v>
      </c>
      <c r="H195" t="s">
        <v>18</v>
      </c>
      <c r="I195">
        <v>26</v>
      </c>
      <c r="J195">
        <v>185</v>
      </c>
      <c r="K195" t="s">
        <v>19</v>
      </c>
      <c r="L195" t="s">
        <v>58</v>
      </c>
    </row>
    <row r="196" spans="1:12">
      <c r="A196" t="s">
        <v>238</v>
      </c>
      <c r="B196" s="40">
        <v>46293</v>
      </c>
      <c r="C196" t="s">
        <v>22</v>
      </c>
      <c r="D196" t="s">
        <v>78</v>
      </c>
      <c r="E196" t="s">
        <v>48</v>
      </c>
      <c r="F196" t="s">
        <v>28</v>
      </c>
      <c r="G196" t="s">
        <v>45</v>
      </c>
      <c r="H196" t="s">
        <v>18</v>
      </c>
      <c r="I196">
        <v>66</v>
      </c>
      <c r="J196">
        <v>185</v>
      </c>
      <c r="K196" t="s">
        <v>20</v>
      </c>
      <c r="L196" t="s">
        <v>24</v>
      </c>
    </row>
    <row r="197" spans="1:12">
      <c r="A197" t="s">
        <v>239</v>
      </c>
      <c r="B197" s="40">
        <v>46223</v>
      </c>
      <c r="C197" t="s">
        <v>52</v>
      </c>
      <c r="D197" t="s">
        <v>53</v>
      </c>
      <c r="E197" t="s">
        <v>48</v>
      </c>
      <c r="F197" t="s">
        <v>28</v>
      </c>
      <c r="G197" t="s">
        <v>17</v>
      </c>
      <c r="H197" t="s">
        <v>18</v>
      </c>
      <c r="I197">
        <v>49</v>
      </c>
      <c r="J197">
        <v>260</v>
      </c>
      <c r="K197" t="s">
        <v>19</v>
      </c>
      <c r="L197" t="s">
        <v>24</v>
      </c>
    </row>
    <row r="198" spans="1:12">
      <c r="A198" t="s">
        <v>240</v>
      </c>
      <c r="B198" s="40">
        <v>46285</v>
      </c>
      <c r="C198" t="s">
        <v>52</v>
      </c>
      <c r="D198" t="s">
        <v>57</v>
      </c>
      <c r="E198" t="s">
        <v>15</v>
      </c>
      <c r="F198" t="s">
        <v>40</v>
      </c>
      <c r="G198" t="s">
        <v>17</v>
      </c>
      <c r="H198" t="s">
        <v>18</v>
      </c>
      <c r="I198">
        <v>5</v>
      </c>
      <c r="J198">
        <v>260</v>
      </c>
      <c r="K198" t="s">
        <v>19</v>
      </c>
      <c r="L198" t="s">
        <v>20</v>
      </c>
    </row>
    <row r="199" spans="1:12">
      <c r="A199" t="s">
        <v>241</v>
      </c>
      <c r="B199" s="40">
        <v>46277</v>
      </c>
      <c r="C199" t="s">
        <v>22</v>
      </c>
      <c r="D199" t="s">
        <v>42</v>
      </c>
      <c r="E199" t="s">
        <v>15</v>
      </c>
      <c r="F199" t="s">
        <v>40</v>
      </c>
      <c r="G199" t="s">
        <v>23</v>
      </c>
      <c r="H199" t="s">
        <v>18</v>
      </c>
      <c r="I199">
        <v>3</v>
      </c>
      <c r="J199">
        <v>175</v>
      </c>
      <c r="K199" t="s">
        <v>19</v>
      </c>
      <c r="L199" t="s">
        <v>24</v>
      </c>
    </row>
    <row r="200" spans="1:12">
      <c r="A200" t="s">
        <v>242</v>
      </c>
      <c r="B200" s="40">
        <v>46257</v>
      </c>
      <c r="C200" t="s">
        <v>22</v>
      </c>
      <c r="D200" t="s">
        <v>39</v>
      </c>
      <c r="E200" t="s">
        <v>15</v>
      </c>
      <c r="F200" t="s">
        <v>40</v>
      </c>
      <c r="G200" t="s">
        <v>23</v>
      </c>
      <c r="H200" t="s">
        <v>18</v>
      </c>
      <c r="I200">
        <v>24</v>
      </c>
      <c r="J200">
        <v>175</v>
      </c>
      <c r="K200" t="s">
        <v>19</v>
      </c>
      <c r="L200" t="s">
        <v>24</v>
      </c>
    </row>
    <row r="201" spans="1:12">
      <c r="A201" t="s">
        <v>243</v>
      </c>
      <c r="B201" s="40">
        <v>46268</v>
      </c>
      <c r="C201" t="s">
        <v>13</v>
      </c>
      <c r="D201" t="s">
        <v>78</v>
      </c>
      <c r="E201" t="s">
        <v>48</v>
      </c>
      <c r="F201" t="s">
        <v>28</v>
      </c>
      <c r="G201" t="s">
        <v>17</v>
      </c>
      <c r="H201" t="s">
        <v>18</v>
      </c>
      <c r="I201">
        <v>35</v>
      </c>
      <c r="J201">
        <v>260</v>
      </c>
      <c r="K201" t="s">
        <v>19</v>
      </c>
      <c r="L201" t="s">
        <v>24</v>
      </c>
    </row>
    <row r="202" spans="1:12">
      <c r="A202" t="s">
        <v>244</v>
      </c>
      <c r="B202" s="40">
        <v>46249</v>
      </c>
      <c r="C202" t="s">
        <v>13</v>
      </c>
      <c r="D202" t="s">
        <v>47</v>
      </c>
      <c r="E202" t="s">
        <v>48</v>
      </c>
      <c r="F202" t="s">
        <v>16</v>
      </c>
      <c r="G202" t="s">
        <v>49</v>
      </c>
      <c r="H202" t="s">
        <v>18</v>
      </c>
      <c r="I202">
        <v>18</v>
      </c>
      <c r="J202">
        <v>145</v>
      </c>
      <c r="K202" t="s">
        <v>19</v>
      </c>
      <c r="L202" t="s">
        <v>20</v>
      </c>
    </row>
    <row r="203" spans="1:12">
      <c r="A203" t="s">
        <v>245</v>
      </c>
      <c r="B203" s="40">
        <v>46249</v>
      </c>
      <c r="C203" t="s">
        <v>26</v>
      </c>
      <c r="D203" t="s">
        <v>14</v>
      </c>
      <c r="E203" t="s">
        <v>15</v>
      </c>
      <c r="F203" t="s">
        <v>16</v>
      </c>
      <c r="G203" t="s">
        <v>23</v>
      </c>
      <c r="H203" t="s">
        <v>18</v>
      </c>
      <c r="I203">
        <v>23</v>
      </c>
      <c r="J203">
        <v>175</v>
      </c>
      <c r="K203" t="s">
        <v>20</v>
      </c>
      <c r="L203" t="s">
        <v>24</v>
      </c>
    </row>
    <row r="204" spans="1:12">
      <c r="A204" t="s">
        <v>246</v>
      </c>
      <c r="B204" s="40">
        <v>46221</v>
      </c>
      <c r="C204" t="s">
        <v>13</v>
      </c>
      <c r="D204" t="s">
        <v>42</v>
      </c>
      <c r="E204" t="s">
        <v>15</v>
      </c>
      <c r="F204" t="s">
        <v>40</v>
      </c>
      <c r="G204" t="s">
        <v>29</v>
      </c>
      <c r="H204" t="s">
        <v>30</v>
      </c>
      <c r="I204">
        <v>32</v>
      </c>
      <c r="J204">
        <v>26</v>
      </c>
      <c r="K204" t="s">
        <v>19</v>
      </c>
      <c r="L204" t="s">
        <v>58</v>
      </c>
    </row>
    <row r="205" spans="1:12">
      <c r="A205" t="s">
        <v>247</v>
      </c>
      <c r="B205" s="40">
        <v>46209</v>
      </c>
      <c r="C205" t="s">
        <v>26</v>
      </c>
      <c r="D205" t="s">
        <v>39</v>
      </c>
      <c r="E205" t="s">
        <v>15</v>
      </c>
      <c r="F205" t="s">
        <v>40</v>
      </c>
      <c r="G205" t="s">
        <v>49</v>
      </c>
      <c r="H205" t="s">
        <v>18</v>
      </c>
      <c r="I205">
        <v>48</v>
      </c>
      <c r="J205">
        <v>145</v>
      </c>
      <c r="K205" t="s">
        <v>20</v>
      </c>
      <c r="L205" t="s">
        <v>24</v>
      </c>
    </row>
    <row r="206" spans="1:12">
      <c r="A206" t="s">
        <v>248</v>
      </c>
      <c r="B206" s="40">
        <v>46228</v>
      </c>
      <c r="C206" t="s">
        <v>26</v>
      </c>
      <c r="D206" t="s">
        <v>37</v>
      </c>
      <c r="E206" t="s">
        <v>33</v>
      </c>
      <c r="F206" t="s">
        <v>16</v>
      </c>
      <c r="G206" t="s">
        <v>35</v>
      </c>
      <c r="H206" t="s">
        <v>30</v>
      </c>
      <c r="I206">
        <v>77</v>
      </c>
      <c r="J206">
        <v>210</v>
      </c>
      <c r="K206" t="s">
        <v>19</v>
      </c>
      <c r="L206" t="s">
        <v>20</v>
      </c>
    </row>
    <row r="207" spans="1:12">
      <c r="A207" t="s">
        <v>249</v>
      </c>
      <c r="B207" s="40">
        <v>46259</v>
      </c>
      <c r="C207" t="s">
        <v>52</v>
      </c>
      <c r="D207" t="s">
        <v>78</v>
      </c>
      <c r="E207" t="s">
        <v>48</v>
      </c>
      <c r="F207" t="s">
        <v>28</v>
      </c>
      <c r="G207" t="s">
        <v>49</v>
      </c>
      <c r="H207" t="s">
        <v>18</v>
      </c>
      <c r="I207">
        <v>9</v>
      </c>
      <c r="J207">
        <v>145</v>
      </c>
      <c r="K207" t="s">
        <v>20</v>
      </c>
      <c r="L207" t="s">
        <v>20</v>
      </c>
    </row>
    <row r="208" spans="1:12">
      <c r="A208" t="s">
        <v>250</v>
      </c>
      <c r="B208" s="40">
        <v>46267</v>
      </c>
      <c r="C208" t="s">
        <v>26</v>
      </c>
      <c r="D208" t="s">
        <v>47</v>
      </c>
      <c r="E208" t="s">
        <v>48</v>
      </c>
      <c r="F208" t="s">
        <v>16</v>
      </c>
      <c r="G208" t="s">
        <v>49</v>
      </c>
      <c r="H208" t="s">
        <v>18</v>
      </c>
      <c r="I208">
        <v>13</v>
      </c>
      <c r="J208">
        <v>145</v>
      </c>
      <c r="K208" t="s">
        <v>20</v>
      </c>
      <c r="L208" t="s">
        <v>24</v>
      </c>
    </row>
    <row r="209" spans="1:12">
      <c r="A209" t="s">
        <v>251</v>
      </c>
      <c r="B209" s="40">
        <v>46227</v>
      </c>
      <c r="C209" t="s">
        <v>26</v>
      </c>
      <c r="D209" t="s">
        <v>14</v>
      </c>
      <c r="E209" t="s">
        <v>15</v>
      </c>
      <c r="F209" t="s">
        <v>16</v>
      </c>
      <c r="G209" t="s">
        <v>29</v>
      </c>
      <c r="H209" t="s">
        <v>30</v>
      </c>
      <c r="I209">
        <v>74</v>
      </c>
      <c r="J209">
        <v>26</v>
      </c>
      <c r="K209" t="s">
        <v>19</v>
      </c>
      <c r="L209" t="s">
        <v>24</v>
      </c>
    </row>
    <row r="210" spans="1:12">
      <c r="A210" t="s">
        <v>252</v>
      </c>
      <c r="B210" s="40">
        <v>46258</v>
      </c>
      <c r="C210" t="s">
        <v>22</v>
      </c>
      <c r="D210" t="s">
        <v>57</v>
      </c>
      <c r="E210" t="s">
        <v>15</v>
      </c>
      <c r="F210" t="s">
        <v>40</v>
      </c>
      <c r="G210" t="s">
        <v>49</v>
      </c>
      <c r="H210" t="s">
        <v>18</v>
      </c>
      <c r="I210">
        <v>30</v>
      </c>
      <c r="J210">
        <v>145</v>
      </c>
      <c r="K210" t="s">
        <v>19</v>
      </c>
      <c r="L210" t="s">
        <v>24</v>
      </c>
    </row>
    <row r="211" spans="1:12">
      <c r="A211" t="s">
        <v>253</v>
      </c>
      <c r="B211" s="40">
        <v>46259</v>
      </c>
      <c r="C211" t="s">
        <v>26</v>
      </c>
      <c r="D211" t="s">
        <v>39</v>
      </c>
      <c r="E211" t="s">
        <v>15</v>
      </c>
      <c r="F211" t="s">
        <v>40</v>
      </c>
      <c r="G211" t="s">
        <v>29</v>
      </c>
      <c r="H211" t="s">
        <v>30</v>
      </c>
      <c r="I211">
        <v>24</v>
      </c>
      <c r="J211">
        <v>26</v>
      </c>
      <c r="K211" t="s">
        <v>19</v>
      </c>
      <c r="L211" t="s">
        <v>20</v>
      </c>
    </row>
    <row r="212" spans="1:12">
      <c r="A212" t="s">
        <v>254</v>
      </c>
      <c r="B212" s="40">
        <v>46290</v>
      </c>
      <c r="C212" t="s">
        <v>22</v>
      </c>
      <c r="D212" t="s">
        <v>39</v>
      </c>
      <c r="E212" t="s">
        <v>15</v>
      </c>
      <c r="F212" t="s">
        <v>40</v>
      </c>
      <c r="G212" t="s">
        <v>17</v>
      </c>
      <c r="H212" t="s">
        <v>18</v>
      </c>
      <c r="I212">
        <v>27</v>
      </c>
      <c r="J212">
        <v>260</v>
      </c>
      <c r="K212" t="s">
        <v>20</v>
      </c>
      <c r="L212" t="s">
        <v>24</v>
      </c>
    </row>
    <row r="213" spans="1:12">
      <c r="A213" t="s">
        <v>255</v>
      </c>
      <c r="B213" s="40">
        <v>46234</v>
      </c>
      <c r="C213" t="s">
        <v>26</v>
      </c>
      <c r="D213" t="s">
        <v>53</v>
      </c>
      <c r="E213" t="s">
        <v>48</v>
      </c>
      <c r="F213" t="s">
        <v>28</v>
      </c>
      <c r="G213" t="s">
        <v>29</v>
      </c>
      <c r="H213" t="s">
        <v>30</v>
      </c>
      <c r="I213">
        <v>40</v>
      </c>
      <c r="J213">
        <v>26</v>
      </c>
      <c r="K213" t="s">
        <v>19</v>
      </c>
      <c r="L213" t="s">
        <v>58</v>
      </c>
    </row>
    <row r="214" spans="1:12">
      <c r="A214" t="s">
        <v>256</v>
      </c>
      <c r="B214" s="40">
        <v>46251</v>
      </c>
      <c r="C214" t="s">
        <v>26</v>
      </c>
      <c r="D214" t="s">
        <v>39</v>
      </c>
      <c r="E214" t="s">
        <v>15</v>
      </c>
      <c r="F214" t="s">
        <v>40</v>
      </c>
      <c r="G214" t="s">
        <v>23</v>
      </c>
      <c r="H214" t="s">
        <v>18</v>
      </c>
      <c r="I214">
        <v>11</v>
      </c>
      <c r="J214">
        <v>175</v>
      </c>
      <c r="K214" t="s">
        <v>19</v>
      </c>
      <c r="L214" t="s">
        <v>24</v>
      </c>
    </row>
    <row r="215" spans="1:12">
      <c r="A215" t="s">
        <v>257</v>
      </c>
      <c r="B215" s="40">
        <v>46287</v>
      </c>
      <c r="C215" t="s">
        <v>26</v>
      </c>
      <c r="D215" t="s">
        <v>32</v>
      </c>
      <c r="E215" t="s">
        <v>33</v>
      </c>
      <c r="F215" t="s">
        <v>16</v>
      </c>
      <c r="G215" t="s">
        <v>23</v>
      </c>
      <c r="H215" t="s">
        <v>18</v>
      </c>
      <c r="I215">
        <v>25</v>
      </c>
      <c r="J215">
        <v>175</v>
      </c>
      <c r="K215" t="s">
        <v>19</v>
      </c>
      <c r="L215" t="s">
        <v>24</v>
      </c>
    </row>
    <row r="216" spans="1:12">
      <c r="A216" t="s">
        <v>258</v>
      </c>
      <c r="B216" s="40">
        <v>46275</v>
      </c>
      <c r="C216" t="s">
        <v>13</v>
      </c>
      <c r="D216" t="s">
        <v>32</v>
      </c>
      <c r="E216" t="s">
        <v>33</v>
      </c>
      <c r="F216" t="s">
        <v>16</v>
      </c>
      <c r="G216" t="s">
        <v>35</v>
      </c>
      <c r="H216" t="s">
        <v>30</v>
      </c>
      <c r="I216">
        <v>35</v>
      </c>
      <c r="J216">
        <v>210</v>
      </c>
      <c r="K216" t="s">
        <v>19</v>
      </c>
      <c r="L216" t="s">
        <v>24</v>
      </c>
    </row>
    <row r="217" spans="1:12">
      <c r="A217" t="s">
        <v>259</v>
      </c>
      <c r="B217" s="40">
        <v>46266</v>
      </c>
      <c r="C217" t="s">
        <v>22</v>
      </c>
      <c r="D217" t="s">
        <v>42</v>
      </c>
      <c r="E217" t="s">
        <v>15</v>
      </c>
      <c r="F217" t="s">
        <v>40</v>
      </c>
      <c r="G217" t="s">
        <v>45</v>
      </c>
      <c r="H217" t="s">
        <v>18</v>
      </c>
      <c r="I217">
        <v>20</v>
      </c>
      <c r="J217">
        <v>185</v>
      </c>
      <c r="K217" t="s">
        <v>19</v>
      </c>
      <c r="L217" t="s">
        <v>20</v>
      </c>
    </row>
    <row r="218" spans="1:12">
      <c r="A218" t="s">
        <v>260</v>
      </c>
      <c r="B218" s="40">
        <v>46291</v>
      </c>
      <c r="C218" t="s">
        <v>26</v>
      </c>
      <c r="D218" t="s">
        <v>42</v>
      </c>
      <c r="E218" t="s">
        <v>15</v>
      </c>
      <c r="F218" t="s">
        <v>40</v>
      </c>
      <c r="G218" t="s">
        <v>45</v>
      </c>
      <c r="H218" t="s">
        <v>18</v>
      </c>
      <c r="I218">
        <v>30</v>
      </c>
      <c r="J218">
        <v>185</v>
      </c>
      <c r="K218" t="s">
        <v>19</v>
      </c>
      <c r="L218" t="s">
        <v>20</v>
      </c>
    </row>
    <row r="219" spans="1:12">
      <c r="A219" t="s">
        <v>261</v>
      </c>
      <c r="B219" s="40">
        <v>46224</v>
      </c>
      <c r="C219" t="s">
        <v>22</v>
      </c>
      <c r="D219" t="s">
        <v>37</v>
      </c>
      <c r="E219" t="s">
        <v>33</v>
      </c>
      <c r="F219" t="s">
        <v>16</v>
      </c>
      <c r="G219" t="s">
        <v>23</v>
      </c>
      <c r="H219" t="s">
        <v>18</v>
      </c>
      <c r="I219">
        <v>20</v>
      </c>
      <c r="J219">
        <v>175</v>
      </c>
      <c r="K219" t="s">
        <v>20</v>
      </c>
      <c r="L219" t="s">
        <v>24</v>
      </c>
    </row>
    <row r="220" spans="1:12">
      <c r="A220" t="s">
        <v>262</v>
      </c>
      <c r="B220" s="40">
        <v>46267</v>
      </c>
      <c r="C220" t="s">
        <v>13</v>
      </c>
      <c r="D220" t="s">
        <v>14</v>
      </c>
      <c r="E220" t="s">
        <v>15</v>
      </c>
      <c r="F220" t="s">
        <v>16</v>
      </c>
      <c r="G220" t="s">
        <v>45</v>
      </c>
      <c r="H220" t="s">
        <v>18</v>
      </c>
      <c r="I220">
        <v>10</v>
      </c>
      <c r="J220">
        <v>185</v>
      </c>
      <c r="K220" t="s">
        <v>19</v>
      </c>
      <c r="L220" t="s">
        <v>24</v>
      </c>
    </row>
    <row r="221" spans="1:12">
      <c r="A221" t="s">
        <v>263</v>
      </c>
      <c r="B221" s="40">
        <v>46215</v>
      </c>
      <c r="C221" t="s">
        <v>13</v>
      </c>
      <c r="D221" t="s">
        <v>42</v>
      </c>
      <c r="E221" t="s">
        <v>15</v>
      </c>
      <c r="F221" t="s">
        <v>40</v>
      </c>
      <c r="G221" t="s">
        <v>23</v>
      </c>
      <c r="H221" t="s">
        <v>18</v>
      </c>
      <c r="I221">
        <v>10</v>
      </c>
      <c r="J221">
        <v>175</v>
      </c>
      <c r="K221" t="s">
        <v>19</v>
      </c>
      <c r="L221" t="s">
        <v>58</v>
      </c>
    </row>
    <row r="222" spans="1:12">
      <c r="A222" t="s">
        <v>264</v>
      </c>
      <c r="B222" s="40">
        <v>46277</v>
      </c>
      <c r="C222" t="s">
        <v>13</v>
      </c>
      <c r="D222" t="s">
        <v>42</v>
      </c>
      <c r="E222" t="s">
        <v>15</v>
      </c>
      <c r="F222" t="s">
        <v>40</v>
      </c>
      <c r="G222" t="s">
        <v>23</v>
      </c>
      <c r="H222" t="s">
        <v>18</v>
      </c>
      <c r="I222">
        <v>28</v>
      </c>
      <c r="J222">
        <v>175</v>
      </c>
      <c r="K222" t="s">
        <v>19</v>
      </c>
      <c r="L222" t="s">
        <v>24</v>
      </c>
    </row>
    <row r="223" spans="1:12">
      <c r="A223" t="s">
        <v>265</v>
      </c>
      <c r="B223" s="40">
        <v>46248</v>
      </c>
      <c r="C223" t="s">
        <v>22</v>
      </c>
      <c r="D223" t="s">
        <v>14</v>
      </c>
      <c r="E223" t="s">
        <v>15</v>
      </c>
      <c r="F223" t="s">
        <v>16</v>
      </c>
      <c r="G223" t="s">
        <v>35</v>
      </c>
      <c r="H223" t="s">
        <v>30</v>
      </c>
      <c r="I223">
        <v>31</v>
      </c>
      <c r="J223">
        <v>210</v>
      </c>
      <c r="K223" t="s">
        <v>20</v>
      </c>
      <c r="L223" t="s">
        <v>20</v>
      </c>
    </row>
    <row r="224" spans="1:12">
      <c r="A224" t="s">
        <v>266</v>
      </c>
      <c r="B224" s="40">
        <v>46211</v>
      </c>
      <c r="C224" t="s">
        <v>13</v>
      </c>
      <c r="D224" t="s">
        <v>53</v>
      </c>
      <c r="E224" t="s">
        <v>48</v>
      </c>
      <c r="F224" t="s">
        <v>28</v>
      </c>
      <c r="G224" t="s">
        <v>45</v>
      </c>
      <c r="H224" t="s">
        <v>18</v>
      </c>
      <c r="I224">
        <v>10</v>
      </c>
      <c r="J224">
        <v>185</v>
      </c>
      <c r="K224" t="s">
        <v>19</v>
      </c>
      <c r="L224" t="s">
        <v>24</v>
      </c>
    </row>
    <row r="225" spans="1:12">
      <c r="A225" t="s">
        <v>267</v>
      </c>
      <c r="B225" s="40">
        <v>46270</v>
      </c>
      <c r="C225" t="s">
        <v>26</v>
      </c>
      <c r="D225" t="s">
        <v>32</v>
      </c>
      <c r="E225" t="s">
        <v>33</v>
      </c>
      <c r="F225" t="s">
        <v>16</v>
      </c>
      <c r="G225" t="s">
        <v>49</v>
      </c>
      <c r="H225" t="s">
        <v>18</v>
      </c>
      <c r="I225">
        <v>16</v>
      </c>
      <c r="J225">
        <v>145</v>
      </c>
      <c r="K225" t="s">
        <v>20</v>
      </c>
      <c r="L225" t="s">
        <v>24</v>
      </c>
    </row>
    <row r="226" spans="1:12">
      <c r="A226" t="s">
        <v>268</v>
      </c>
      <c r="B226" s="40">
        <v>46282</v>
      </c>
      <c r="C226" t="s">
        <v>13</v>
      </c>
      <c r="D226" t="s">
        <v>37</v>
      </c>
      <c r="E226" t="s">
        <v>33</v>
      </c>
      <c r="F226" t="s">
        <v>16</v>
      </c>
      <c r="G226" t="s">
        <v>49</v>
      </c>
      <c r="H226" t="s">
        <v>18</v>
      </c>
      <c r="I226">
        <v>10</v>
      </c>
      <c r="J226">
        <v>145</v>
      </c>
      <c r="K226" t="s">
        <v>19</v>
      </c>
      <c r="L226" t="s">
        <v>24</v>
      </c>
    </row>
    <row r="227" spans="1:12">
      <c r="A227" t="s">
        <v>269</v>
      </c>
      <c r="B227" s="40">
        <v>46281</v>
      </c>
      <c r="C227" t="s">
        <v>26</v>
      </c>
      <c r="D227" t="s">
        <v>53</v>
      </c>
      <c r="E227" t="s">
        <v>48</v>
      </c>
      <c r="F227" t="s">
        <v>28</v>
      </c>
      <c r="G227" t="s">
        <v>45</v>
      </c>
      <c r="H227" t="s">
        <v>18</v>
      </c>
      <c r="I227">
        <v>12</v>
      </c>
      <c r="J227">
        <v>185</v>
      </c>
      <c r="K227" t="s">
        <v>20</v>
      </c>
      <c r="L227" t="s">
        <v>24</v>
      </c>
    </row>
    <row r="228" spans="1:12">
      <c r="A228" t="s">
        <v>270</v>
      </c>
      <c r="B228" s="40">
        <v>46277</v>
      </c>
      <c r="C228" t="s">
        <v>26</v>
      </c>
      <c r="D228" t="s">
        <v>39</v>
      </c>
      <c r="E228" t="s">
        <v>15</v>
      </c>
      <c r="F228" t="s">
        <v>40</v>
      </c>
      <c r="G228" t="s">
        <v>17</v>
      </c>
      <c r="H228" t="s">
        <v>18</v>
      </c>
      <c r="I228">
        <v>4</v>
      </c>
      <c r="J228">
        <v>260</v>
      </c>
      <c r="K228" t="s">
        <v>19</v>
      </c>
      <c r="L228" t="s">
        <v>20</v>
      </c>
    </row>
    <row r="229" spans="1:12">
      <c r="A229" t="s">
        <v>271</v>
      </c>
      <c r="B229" s="40">
        <v>46284</v>
      </c>
      <c r="C229" t="s">
        <v>26</v>
      </c>
      <c r="D229" t="s">
        <v>47</v>
      </c>
      <c r="E229" t="s">
        <v>48</v>
      </c>
      <c r="F229" t="s">
        <v>16</v>
      </c>
      <c r="G229" t="s">
        <v>23</v>
      </c>
      <c r="H229" t="s">
        <v>18</v>
      </c>
      <c r="I229">
        <v>3</v>
      </c>
      <c r="J229">
        <v>175</v>
      </c>
      <c r="K229" t="s">
        <v>19</v>
      </c>
      <c r="L229" t="s">
        <v>24</v>
      </c>
    </row>
    <row r="230" spans="1:12">
      <c r="A230" t="s">
        <v>272</v>
      </c>
      <c r="B230" s="40">
        <v>46213</v>
      </c>
      <c r="C230" t="s">
        <v>13</v>
      </c>
      <c r="D230" t="s">
        <v>27</v>
      </c>
      <c r="E230" t="s">
        <v>15</v>
      </c>
      <c r="F230" t="s">
        <v>28</v>
      </c>
      <c r="G230" t="s">
        <v>29</v>
      </c>
      <c r="H230" t="s">
        <v>30</v>
      </c>
      <c r="I230">
        <v>27</v>
      </c>
      <c r="J230">
        <v>26</v>
      </c>
      <c r="K230" t="s">
        <v>19</v>
      </c>
      <c r="L230" t="s">
        <v>24</v>
      </c>
    </row>
    <row r="231" spans="1:12">
      <c r="A231" t="s">
        <v>273</v>
      </c>
      <c r="B231" s="40">
        <v>46244</v>
      </c>
      <c r="C231" t="s">
        <v>26</v>
      </c>
      <c r="D231" t="s">
        <v>42</v>
      </c>
      <c r="E231" t="s">
        <v>15</v>
      </c>
      <c r="F231" t="s">
        <v>40</v>
      </c>
      <c r="G231" t="s">
        <v>45</v>
      </c>
      <c r="H231" t="s">
        <v>18</v>
      </c>
      <c r="I231">
        <v>23</v>
      </c>
      <c r="J231">
        <v>185</v>
      </c>
      <c r="K231" t="s">
        <v>20</v>
      </c>
      <c r="L231" t="s">
        <v>20</v>
      </c>
    </row>
    <row r="232" spans="1:12">
      <c r="A232" t="s">
        <v>274</v>
      </c>
      <c r="B232" s="40">
        <v>46217</v>
      </c>
      <c r="C232" t="s">
        <v>26</v>
      </c>
      <c r="D232" t="s">
        <v>47</v>
      </c>
      <c r="E232" t="s">
        <v>48</v>
      </c>
      <c r="F232" t="s">
        <v>16</v>
      </c>
      <c r="G232" t="s">
        <v>45</v>
      </c>
      <c r="H232" t="s">
        <v>18</v>
      </c>
      <c r="I232">
        <v>25</v>
      </c>
      <c r="J232">
        <v>185</v>
      </c>
      <c r="K232" t="s">
        <v>19</v>
      </c>
      <c r="L232" t="s">
        <v>24</v>
      </c>
    </row>
    <row r="233" spans="1:12">
      <c r="A233" t="s">
        <v>275</v>
      </c>
      <c r="B233" s="40">
        <v>46241</v>
      </c>
      <c r="C233" t="s">
        <v>52</v>
      </c>
      <c r="D233" t="s">
        <v>42</v>
      </c>
      <c r="E233" t="s">
        <v>15</v>
      </c>
      <c r="F233" t="s">
        <v>40</v>
      </c>
      <c r="G233" t="s">
        <v>45</v>
      </c>
      <c r="H233" t="s">
        <v>18</v>
      </c>
      <c r="I233">
        <v>11</v>
      </c>
      <c r="J233">
        <v>185</v>
      </c>
      <c r="K233" t="s">
        <v>20</v>
      </c>
      <c r="L233" t="s">
        <v>24</v>
      </c>
    </row>
    <row r="234" spans="1:12">
      <c r="A234" t="s">
        <v>276</v>
      </c>
      <c r="B234" s="40">
        <v>46224</v>
      </c>
      <c r="C234" t="s">
        <v>52</v>
      </c>
      <c r="D234" t="s">
        <v>32</v>
      </c>
      <c r="E234" t="s">
        <v>33</v>
      </c>
      <c r="F234" t="s">
        <v>16</v>
      </c>
      <c r="G234" t="s">
        <v>49</v>
      </c>
      <c r="H234" t="s">
        <v>18</v>
      </c>
      <c r="I234">
        <v>22</v>
      </c>
      <c r="J234">
        <v>145</v>
      </c>
      <c r="K234" t="s">
        <v>20</v>
      </c>
      <c r="L234" t="s">
        <v>24</v>
      </c>
    </row>
    <row r="235" spans="1:12">
      <c r="A235" t="s">
        <v>277</v>
      </c>
      <c r="B235" s="40">
        <v>46254</v>
      </c>
      <c r="C235" t="s">
        <v>52</v>
      </c>
      <c r="D235" t="s">
        <v>57</v>
      </c>
      <c r="E235" t="s">
        <v>15</v>
      </c>
      <c r="F235" t="s">
        <v>40</v>
      </c>
      <c r="G235" t="s">
        <v>35</v>
      </c>
      <c r="H235" t="s">
        <v>30</v>
      </c>
      <c r="I235">
        <v>3</v>
      </c>
      <c r="J235">
        <v>210</v>
      </c>
      <c r="K235" t="s">
        <v>20</v>
      </c>
      <c r="L235" t="s">
        <v>24</v>
      </c>
    </row>
    <row r="236" spans="1:12">
      <c r="A236" t="s">
        <v>278</v>
      </c>
      <c r="B236" s="40">
        <v>46280</v>
      </c>
      <c r="C236" t="s">
        <v>52</v>
      </c>
      <c r="D236" t="s">
        <v>78</v>
      </c>
      <c r="E236" t="s">
        <v>48</v>
      </c>
      <c r="F236" t="s">
        <v>28</v>
      </c>
      <c r="G236" t="s">
        <v>17</v>
      </c>
      <c r="H236" t="s">
        <v>18</v>
      </c>
      <c r="I236">
        <v>5</v>
      </c>
      <c r="J236">
        <v>260</v>
      </c>
      <c r="K236" t="s">
        <v>19</v>
      </c>
      <c r="L236" t="s">
        <v>24</v>
      </c>
    </row>
    <row r="237" spans="1:12">
      <c r="A237" t="s">
        <v>279</v>
      </c>
      <c r="B237" s="40">
        <v>46250</v>
      </c>
      <c r="C237" t="s">
        <v>52</v>
      </c>
      <c r="D237" t="s">
        <v>14</v>
      </c>
      <c r="E237" t="s">
        <v>15</v>
      </c>
      <c r="F237" t="s">
        <v>16</v>
      </c>
      <c r="G237" t="s">
        <v>35</v>
      </c>
      <c r="H237" t="s">
        <v>30</v>
      </c>
      <c r="I237">
        <v>10</v>
      </c>
      <c r="J237">
        <v>210</v>
      </c>
      <c r="K237" t="s">
        <v>19</v>
      </c>
      <c r="L237" t="s">
        <v>24</v>
      </c>
    </row>
    <row r="238" spans="1:12">
      <c r="A238" t="s">
        <v>280</v>
      </c>
      <c r="B238" s="40">
        <v>46240</v>
      </c>
      <c r="C238" t="s">
        <v>13</v>
      </c>
      <c r="D238" t="s">
        <v>53</v>
      </c>
      <c r="E238" t="s">
        <v>48</v>
      </c>
      <c r="F238" t="s">
        <v>28</v>
      </c>
      <c r="G238" t="s">
        <v>23</v>
      </c>
      <c r="H238" t="s">
        <v>18</v>
      </c>
      <c r="I238">
        <v>14</v>
      </c>
      <c r="J238">
        <v>175</v>
      </c>
      <c r="K238" t="s">
        <v>19</v>
      </c>
      <c r="L238" t="s">
        <v>24</v>
      </c>
    </row>
    <row r="239" spans="1:12">
      <c r="A239" t="s">
        <v>281</v>
      </c>
      <c r="B239" s="40">
        <v>46216</v>
      </c>
      <c r="C239" t="s">
        <v>52</v>
      </c>
      <c r="D239" t="s">
        <v>37</v>
      </c>
      <c r="E239" t="s">
        <v>33</v>
      </c>
      <c r="F239" t="s">
        <v>16</v>
      </c>
      <c r="G239" t="s">
        <v>49</v>
      </c>
      <c r="H239" t="s">
        <v>18</v>
      </c>
      <c r="I239">
        <v>9</v>
      </c>
      <c r="J239">
        <v>145</v>
      </c>
      <c r="K239" t="s">
        <v>19</v>
      </c>
      <c r="L239" t="s">
        <v>58</v>
      </c>
    </row>
    <row r="240" spans="1:12">
      <c r="A240" t="s">
        <v>282</v>
      </c>
      <c r="B240" s="40">
        <v>46269</v>
      </c>
      <c r="C240" t="s">
        <v>52</v>
      </c>
      <c r="D240" t="s">
        <v>37</v>
      </c>
      <c r="E240" t="s">
        <v>33</v>
      </c>
      <c r="F240" t="s">
        <v>16</v>
      </c>
      <c r="G240" t="s">
        <v>49</v>
      </c>
      <c r="H240" t="s">
        <v>18</v>
      </c>
      <c r="I240">
        <v>11</v>
      </c>
      <c r="J240">
        <v>145</v>
      </c>
      <c r="K240" t="s">
        <v>19</v>
      </c>
      <c r="L240" t="s">
        <v>24</v>
      </c>
    </row>
    <row r="241" spans="1:12">
      <c r="A241" t="s">
        <v>283</v>
      </c>
      <c r="B241" s="40">
        <v>46270</v>
      </c>
      <c r="C241" t="s">
        <v>52</v>
      </c>
      <c r="D241" t="s">
        <v>32</v>
      </c>
      <c r="E241" t="s">
        <v>33</v>
      </c>
      <c r="F241" t="s">
        <v>16</v>
      </c>
      <c r="G241" t="s">
        <v>29</v>
      </c>
      <c r="H241" t="s">
        <v>30</v>
      </c>
      <c r="I241">
        <v>23</v>
      </c>
      <c r="J241">
        <v>26</v>
      </c>
      <c r="K241" t="s">
        <v>19</v>
      </c>
      <c r="L241" t="s">
        <v>20</v>
      </c>
    </row>
    <row r="242" spans="1:12">
      <c r="A242" t="s">
        <v>284</v>
      </c>
      <c r="B242" s="40">
        <v>46282</v>
      </c>
      <c r="C242" t="s">
        <v>26</v>
      </c>
      <c r="D242" t="s">
        <v>32</v>
      </c>
      <c r="E242" t="s">
        <v>33</v>
      </c>
      <c r="F242" t="s">
        <v>16</v>
      </c>
      <c r="G242" t="s">
        <v>49</v>
      </c>
      <c r="H242" t="s">
        <v>18</v>
      </c>
      <c r="I242">
        <v>22</v>
      </c>
      <c r="J242">
        <v>145</v>
      </c>
      <c r="K242" t="s">
        <v>19</v>
      </c>
      <c r="L242" t="s">
        <v>24</v>
      </c>
    </row>
    <row r="243" spans="1:12">
      <c r="A243" t="s">
        <v>285</v>
      </c>
      <c r="B243" s="40">
        <v>46242</v>
      </c>
      <c r="C243" t="s">
        <v>52</v>
      </c>
      <c r="D243" t="s">
        <v>37</v>
      </c>
      <c r="E243" t="s">
        <v>33</v>
      </c>
      <c r="F243" t="s">
        <v>16</v>
      </c>
      <c r="G243" t="s">
        <v>23</v>
      </c>
      <c r="H243" t="s">
        <v>18</v>
      </c>
      <c r="I243">
        <v>33</v>
      </c>
      <c r="J243">
        <v>175</v>
      </c>
      <c r="K243" t="s">
        <v>20</v>
      </c>
      <c r="L243" t="s">
        <v>24</v>
      </c>
    </row>
    <row r="244" spans="1:12">
      <c r="A244" t="s">
        <v>286</v>
      </c>
      <c r="B244" s="40">
        <v>46292</v>
      </c>
      <c r="C244" t="s">
        <v>13</v>
      </c>
      <c r="D244" t="s">
        <v>14</v>
      </c>
      <c r="E244" t="s">
        <v>15</v>
      </c>
      <c r="F244" t="s">
        <v>16</v>
      </c>
      <c r="G244" t="s">
        <v>35</v>
      </c>
      <c r="H244" t="s">
        <v>30</v>
      </c>
      <c r="I244">
        <v>21</v>
      </c>
      <c r="J244">
        <v>210</v>
      </c>
      <c r="K244" t="s">
        <v>19</v>
      </c>
      <c r="L244" t="s">
        <v>24</v>
      </c>
    </row>
    <row r="245" spans="1:12">
      <c r="A245" t="s">
        <v>287</v>
      </c>
      <c r="B245" s="40">
        <v>46278</v>
      </c>
      <c r="C245" t="s">
        <v>52</v>
      </c>
      <c r="D245" t="s">
        <v>53</v>
      </c>
      <c r="E245" t="s">
        <v>48</v>
      </c>
      <c r="F245" t="s">
        <v>28</v>
      </c>
      <c r="G245" t="s">
        <v>23</v>
      </c>
      <c r="H245" t="s">
        <v>18</v>
      </c>
      <c r="I245">
        <v>16</v>
      </c>
      <c r="J245">
        <v>175</v>
      </c>
      <c r="K245" t="s">
        <v>19</v>
      </c>
      <c r="L245" t="s">
        <v>24</v>
      </c>
    </row>
    <row r="246" spans="1:12">
      <c r="A246" t="s">
        <v>288</v>
      </c>
      <c r="B246" s="40">
        <v>46235</v>
      </c>
      <c r="C246" t="s">
        <v>13</v>
      </c>
      <c r="D246" t="s">
        <v>53</v>
      </c>
      <c r="E246" t="s">
        <v>48</v>
      </c>
      <c r="F246" t="s">
        <v>28</v>
      </c>
      <c r="G246" t="s">
        <v>35</v>
      </c>
      <c r="H246" t="s">
        <v>30</v>
      </c>
      <c r="I246">
        <v>11</v>
      </c>
      <c r="J246">
        <v>210</v>
      </c>
      <c r="K246" t="s">
        <v>19</v>
      </c>
      <c r="L246" t="s">
        <v>20</v>
      </c>
    </row>
    <row r="247" spans="1:12">
      <c r="A247" t="s">
        <v>289</v>
      </c>
      <c r="B247" s="40">
        <v>46223</v>
      </c>
      <c r="C247" t="s">
        <v>52</v>
      </c>
      <c r="D247" t="s">
        <v>27</v>
      </c>
      <c r="E247" t="s">
        <v>15</v>
      </c>
      <c r="F247" t="s">
        <v>28</v>
      </c>
      <c r="G247" t="s">
        <v>17</v>
      </c>
      <c r="H247" t="s">
        <v>18</v>
      </c>
      <c r="I247">
        <v>30</v>
      </c>
      <c r="J247">
        <v>260</v>
      </c>
      <c r="K247" t="s">
        <v>19</v>
      </c>
      <c r="L247" t="s">
        <v>24</v>
      </c>
    </row>
    <row r="248" spans="1:12">
      <c r="A248" t="s">
        <v>290</v>
      </c>
      <c r="B248" s="40">
        <v>46270</v>
      </c>
      <c r="C248" t="s">
        <v>22</v>
      </c>
      <c r="D248" t="s">
        <v>53</v>
      </c>
      <c r="E248" t="s">
        <v>48</v>
      </c>
      <c r="F248" t="s">
        <v>28</v>
      </c>
      <c r="G248" t="s">
        <v>35</v>
      </c>
      <c r="H248" t="s">
        <v>30</v>
      </c>
      <c r="I248">
        <v>5</v>
      </c>
      <c r="J248">
        <v>210</v>
      </c>
      <c r="K248" t="s">
        <v>19</v>
      </c>
      <c r="L248" t="s">
        <v>58</v>
      </c>
    </row>
    <row r="249" spans="1:12">
      <c r="A249" t="s">
        <v>291</v>
      </c>
      <c r="B249" s="40">
        <v>46226</v>
      </c>
      <c r="C249" t="s">
        <v>52</v>
      </c>
      <c r="D249" t="s">
        <v>42</v>
      </c>
      <c r="E249" t="s">
        <v>15</v>
      </c>
      <c r="F249" t="s">
        <v>40</v>
      </c>
      <c r="G249" t="s">
        <v>23</v>
      </c>
      <c r="H249" t="s">
        <v>18</v>
      </c>
      <c r="I249">
        <v>26</v>
      </c>
      <c r="J249">
        <v>175</v>
      </c>
      <c r="K249" t="s">
        <v>20</v>
      </c>
      <c r="L249" t="s">
        <v>24</v>
      </c>
    </row>
    <row r="250" spans="1:12">
      <c r="A250" t="s">
        <v>292</v>
      </c>
      <c r="B250" s="40">
        <v>46228</v>
      </c>
      <c r="C250" t="s">
        <v>22</v>
      </c>
      <c r="D250" t="s">
        <v>78</v>
      </c>
      <c r="E250" t="s">
        <v>48</v>
      </c>
      <c r="F250" t="s">
        <v>28</v>
      </c>
      <c r="G250" t="s">
        <v>29</v>
      </c>
      <c r="H250" t="s">
        <v>30</v>
      </c>
      <c r="I250">
        <v>18</v>
      </c>
      <c r="J250">
        <v>26</v>
      </c>
      <c r="K250" t="s">
        <v>19</v>
      </c>
      <c r="L250" t="s">
        <v>24</v>
      </c>
    </row>
    <row r="251" spans="1:12">
      <c r="A251" t="s">
        <v>293</v>
      </c>
      <c r="B251" s="40">
        <v>46266</v>
      </c>
      <c r="C251" t="s">
        <v>26</v>
      </c>
      <c r="D251" t="s">
        <v>57</v>
      </c>
      <c r="E251" t="s">
        <v>15</v>
      </c>
      <c r="F251" t="s">
        <v>40</v>
      </c>
      <c r="G251" t="s">
        <v>49</v>
      </c>
      <c r="H251" t="s">
        <v>18</v>
      </c>
      <c r="I251">
        <v>15</v>
      </c>
      <c r="J251">
        <v>145</v>
      </c>
      <c r="K251" t="s">
        <v>19</v>
      </c>
      <c r="L251" t="s">
        <v>24</v>
      </c>
    </row>
    <row r="252" spans="1:12">
      <c r="A252" t="s">
        <v>294</v>
      </c>
      <c r="B252" s="40">
        <v>46273</v>
      </c>
      <c r="C252" t="s">
        <v>52</v>
      </c>
      <c r="D252" t="s">
        <v>57</v>
      </c>
      <c r="E252" t="s">
        <v>15</v>
      </c>
      <c r="F252" t="s">
        <v>40</v>
      </c>
      <c r="G252" t="s">
        <v>49</v>
      </c>
      <c r="H252" t="s">
        <v>18</v>
      </c>
      <c r="I252">
        <v>9</v>
      </c>
      <c r="J252">
        <v>145</v>
      </c>
      <c r="K252" t="s">
        <v>20</v>
      </c>
      <c r="L252" t="s">
        <v>24</v>
      </c>
    </row>
    <row r="253" spans="1:12">
      <c r="A253" t="s">
        <v>295</v>
      </c>
      <c r="B253" s="40">
        <v>46248</v>
      </c>
      <c r="C253" t="s">
        <v>52</v>
      </c>
      <c r="D253" t="s">
        <v>78</v>
      </c>
      <c r="E253" t="s">
        <v>48</v>
      </c>
      <c r="F253" t="s">
        <v>28</v>
      </c>
      <c r="G253" t="s">
        <v>45</v>
      </c>
      <c r="H253" t="s">
        <v>18</v>
      </c>
      <c r="I253">
        <v>41</v>
      </c>
      <c r="J253">
        <v>185</v>
      </c>
      <c r="K253" t="s">
        <v>19</v>
      </c>
      <c r="L253" t="s">
        <v>20</v>
      </c>
    </row>
    <row r="254" spans="1:12">
      <c r="A254" t="s">
        <v>296</v>
      </c>
      <c r="B254" s="40">
        <v>46293</v>
      </c>
      <c r="C254" t="s">
        <v>26</v>
      </c>
      <c r="D254" t="s">
        <v>27</v>
      </c>
      <c r="E254" t="s">
        <v>15</v>
      </c>
      <c r="F254" t="s">
        <v>28</v>
      </c>
      <c r="G254" t="s">
        <v>45</v>
      </c>
      <c r="H254" t="s">
        <v>18</v>
      </c>
      <c r="I254">
        <v>19</v>
      </c>
      <c r="J254">
        <v>185</v>
      </c>
      <c r="K254" t="s">
        <v>19</v>
      </c>
      <c r="L254" t="s">
        <v>24</v>
      </c>
    </row>
    <row r="255" spans="1:12">
      <c r="A255" t="s">
        <v>297</v>
      </c>
      <c r="B255" s="40">
        <v>46232</v>
      </c>
      <c r="C255" t="s">
        <v>22</v>
      </c>
      <c r="D255" t="s">
        <v>53</v>
      </c>
      <c r="E255" t="s">
        <v>48</v>
      </c>
      <c r="F255" t="s">
        <v>28</v>
      </c>
      <c r="G255" t="s">
        <v>45</v>
      </c>
      <c r="H255" t="s">
        <v>18</v>
      </c>
      <c r="I255">
        <v>69</v>
      </c>
      <c r="J255">
        <v>185</v>
      </c>
      <c r="K255" t="s">
        <v>19</v>
      </c>
      <c r="L255" t="s">
        <v>24</v>
      </c>
    </row>
    <row r="256" spans="1:12">
      <c r="A256" t="s">
        <v>298</v>
      </c>
      <c r="B256" s="40">
        <v>46224</v>
      </c>
      <c r="C256" t="s">
        <v>52</v>
      </c>
      <c r="D256" t="s">
        <v>42</v>
      </c>
      <c r="E256" t="s">
        <v>15</v>
      </c>
      <c r="F256" t="s">
        <v>40</v>
      </c>
      <c r="G256" t="s">
        <v>17</v>
      </c>
      <c r="H256" t="s">
        <v>18</v>
      </c>
      <c r="I256">
        <v>71</v>
      </c>
      <c r="J256">
        <v>260</v>
      </c>
      <c r="K256" t="s">
        <v>19</v>
      </c>
      <c r="L256" t="s">
        <v>20</v>
      </c>
    </row>
    <row r="257" spans="1:12">
      <c r="A257" t="s">
        <v>299</v>
      </c>
      <c r="B257" s="40">
        <v>46240</v>
      </c>
      <c r="C257" t="s">
        <v>26</v>
      </c>
      <c r="D257" t="s">
        <v>42</v>
      </c>
      <c r="E257" t="s">
        <v>15</v>
      </c>
      <c r="F257" t="s">
        <v>40</v>
      </c>
      <c r="G257" t="s">
        <v>35</v>
      </c>
      <c r="H257" t="s">
        <v>30</v>
      </c>
      <c r="I257">
        <v>14</v>
      </c>
      <c r="J257">
        <v>210</v>
      </c>
      <c r="K257" t="s">
        <v>19</v>
      </c>
      <c r="L257" t="s">
        <v>24</v>
      </c>
    </row>
    <row r="258" spans="1:12">
      <c r="A258" t="s">
        <v>300</v>
      </c>
      <c r="B258" s="40">
        <v>46208</v>
      </c>
      <c r="C258" t="s">
        <v>22</v>
      </c>
      <c r="D258" t="s">
        <v>14</v>
      </c>
      <c r="E258" t="s">
        <v>15</v>
      </c>
      <c r="F258" t="s">
        <v>16</v>
      </c>
      <c r="G258" t="s">
        <v>29</v>
      </c>
      <c r="H258" t="s">
        <v>30</v>
      </c>
      <c r="I258">
        <v>16</v>
      </c>
      <c r="J258">
        <v>26</v>
      </c>
      <c r="K258" t="s">
        <v>19</v>
      </c>
      <c r="L258" t="s">
        <v>20</v>
      </c>
    </row>
    <row r="259" spans="1:12">
      <c r="A259" t="s">
        <v>301</v>
      </c>
      <c r="B259" s="40">
        <v>46241</v>
      </c>
      <c r="C259" t="s">
        <v>13</v>
      </c>
      <c r="D259" t="s">
        <v>39</v>
      </c>
      <c r="E259" t="s">
        <v>15</v>
      </c>
      <c r="F259" t="s">
        <v>40</v>
      </c>
      <c r="G259" t="s">
        <v>35</v>
      </c>
      <c r="H259" t="s">
        <v>30</v>
      </c>
      <c r="I259">
        <v>33</v>
      </c>
      <c r="J259">
        <v>210</v>
      </c>
      <c r="K259" t="s">
        <v>19</v>
      </c>
      <c r="L259" t="s">
        <v>24</v>
      </c>
    </row>
    <row r="260" spans="1:12">
      <c r="A260" t="s">
        <v>302</v>
      </c>
      <c r="B260" s="40">
        <v>46286</v>
      </c>
      <c r="C260" t="s">
        <v>52</v>
      </c>
      <c r="D260" t="s">
        <v>14</v>
      </c>
      <c r="E260" t="s">
        <v>15</v>
      </c>
      <c r="F260" t="s">
        <v>16</v>
      </c>
      <c r="G260" t="s">
        <v>49</v>
      </c>
      <c r="H260" t="s">
        <v>18</v>
      </c>
      <c r="I260">
        <v>20</v>
      </c>
      <c r="J260">
        <v>145</v>
      </c>
      <c r="K260" t="s">
        <v>20</v>
      </c>
      <c r="L260" t="s">
        <v>24</v>
      </c>
    </row>
    <row r="261" spans="1:12">
      <c r="A261" t="s">
        <v>303</v>
      </c>
      <c r="B261" s="40">
        <v>46218</v>
      </c>
      <c r="C261" t="s">
        <v>26</v>
      </c>
      <c r="D261" t="s">
        <v>37</v>
      </c>
      <c r="E261" t="s">
        <v>33</v>
      </c>
      <c r="F261" t="s">
        <v>16</v>
      </c>
      <c r="G261" t="s">
        <v>35</v>
      </c>
      <c r="H261" t="s">
        <v>30</v>
      </c>
      <c r="I261">
        <v>19</v>
      </c>
      <c r="J261">
        <v>210</v>
      </c>
      <c r="K261" t="s">
        <v>19</v>
      </c>
      <c r="L261" t="s">
        <v>24</v>
      </c>
    </row>
    <row r="262" spans="1:12">
      <c r="A262" t="s">
        <v>304</v>
      </c>
      <c r="B262" s="40">
        <v>46241</v>
      </c>
      <c r="C262" t="s">
        <v>22</v>
      </c>
      <c r="D262" t="s">
        <v>57</v>
      </c>
      <c r="E262" t="s">
        <v>15</v>
      </c>
      <c r="F262" t="s">
        <v>40</v>
      </c>
      <c r="G262" t="s">
        <v>29</v>
      </c>
      <c r="H262" t="s">
        <v>30</v>
      </c>
      <c r="I262">
        <v>57</v>
      </c>
      <c r="J262">
        <v>26</v>
      </c>
      <c r="K262" t="s">
        <v>19</v>
      </c>
      <c r="L262" t="s">
        <v>20</v>
      </c>
    </row>
    <row r="263" spans="1:12">
      <c r="A263" t="s">
        <v>305</v>
      </c>
      <c r="B263" s="40">
        <v>46255</v>
      </c>
      <c r="C263" t="s">
        <v>13</v>
      </c>
      <c r="D263" t="s">
        <v>47</v>
      </c>
      <c r="E263" t="s">
        <v>48</v>
      </c>
      <c r="F263" t="s">
        <v>16</v>
      </c>
      <c r="G263" t="s">
        <v>35</v>
      </c>
      <c r="H263" t="s">
        <v>30</v>
      </c>
      <c r="I263">
        <v>34</v>
      </c>
      <c r="J263">
        <v>210</v>
      </c>
      <c r="K263" t="s">
        <v>19</v>
      </c>
      <c r="L263" t="s">
        <v>24</v>
      </c>
    </row>
    <row r="264" spans="1:12">
      <c r="A264" t="s">
        <v>306</v>
      </c>
      <c r="B264" s="40">
        <v>46234</v>
      </c>
      <c r="C264" t="s">
        <v>52</v>
      </c>
      <c r="D264" t="s">
        <v>78</v>
      </c>
      <c r="E264" t="s">
        <v>48</v>
      </c>
      <c r="F264" t="s">
        <v>28</v>
      </c>
      <c r="G264" t="s">
        <v>45</v>
      </c>
      <c r="H264" t="s">
        <v>18</v>
      </c>
      <c r="I264">
        <v>2</v>
      </c>
      <c r="J264">
        <v>185</v>
      </c>
      <c r="K264" t="s">
        <v>20</v>
      </c>
      <c r="L264" t="s">
        <v>58</v>
      </c>
    </row>
    <row r="265" spans="1:12">
      <c r="A265" t="s">
        <v>307</v>
      </c>
      <c r="B265" s="40">
        <v>46250</v>
      </c>
      <c r="C265" t="s">
        <v>22</v>
      </c>
      <c r="D265" t="s">
        <v>57</v>
      </c>
      <c r="E265" t="s">
        <v>15</v>
      </c>
      <c r="F265" t="s">
        <v>40</v>
      </c>
      <c r="G265" t="s">
        <v>23</v>
      </c>
      <c r="H265" t="s">
        <v>18</v>
      </c>
      <c r="I265">
        <v>2</v>
      </c>
      <c r="J265">
        <v>175</v>
      </c>
      <c r="K265" t="s">
        <v>19</v>
      </c>
      <c r="L265" t="s">
        <v>24</v>
      </c>
    </row>
    <row r="266" spans="1:12">
      <c r="A266" t="s">
        <v>308</v>
      </c>
      <c r="B266" s="40">
        <v>46294</v>
      </c>
      <c r="C266" t="s">
        <v>26</v>
      </c>
      <c r="D266" t="s">
        <v>57</v>
      </c>
      <c r="E266" t="s">
        <v>15</v>
      </c>
      <c r="F266" t="s">
        <v>40</v>
      </c>
      <c r="G266" t="s">
        <v>45</v>
      </c>
      <c r="H266" t="s">
        <v>18</v>
      </c>
      <c r="I266">
        <v>27</v>
      </c>
      <c r="J266">
        <v>185</v>
      </c>
      <c r="K266" t="s">
        <v>19</v>
      </c>
      <c r="L266" t="s">
        <v>24</v>
      </c>
    </row>
    <row r="267" spans="1:12">
      <c r="A267" t="s">
        <v>309</v>
      </c>
      <c r="B267" s="40">
        <v>46221</v>
      </c>
      <c r="C267" t="s">
        <v>52</v>
      </c>
      <c r="D267" t="s">
        <v>57</v>
      </c>
      <c r="E267" t="s">
        <v>15</v>
      </c>
      <c r="F267" t="s">
        <v>40</v>
      </c>
      <c r="G267" t="s">
        <v>49</v>
      </c>
      <c r="H267" t="s">
        <v>18</v>
      </c>
      <c r="I267">
        <v>16</v>
      </c>
      <c r="J267">
        <v>145</v>
      </c>
      <c r="K267" t="s">
        <v>19</v>
      </c>
      <c r="L267" t="s">
        <v>20</v>
      </c>
    </row>
    <row r="268" spans="1:12">
      <c r="A268" t="s">
        <v>310</v>
      </c>
      <c r="B268" s="40">
        <v>46264</v>
      </c>
      <c r="C268" t="s">
        <v>22</v>
      </c>
      <c r="D268" t="s">
        <v>53</v>
      </c>
      <c r="E268" t="s">
        <v>48</v>
      </c>
      <c r="F268" t="s">
        <v>28</v>
      </c>
      <c r="G268" t="s">
        <v>49</v>
      </c>
      <c r="H268" t="s">
        <v>18</v>
      </c>
      <c r="I268">
        <v>28</v>
      </c>
      <c r="J268">
        <v>145</v>
      </c>
      <c r="K268" t="s">
        <v>20</v>
      </c>
      <c r="L268" t="s">
        <v>20</v>
      </c>
    </row>
    <row r="269" spans="1:12">
      <c r="A269" t="s">
        <v>311</v>
      </c>
      <c r="B269" s="40">
        <v>46294</v>
      </c>
      <c r="C269" t="s">
        <v>26</v>
      </c>
      <c r="D269" t="s">
        <v>53</v>
      </c>
      <c r="E269" t="s">
        <v>48</v>
      </c>
      <c r="F269" t="s">
        <v>28</v>
      </c>
      <c r="G269" t="s">
        <v>17</v>
      </c>
      <c r="H269" t="s">
        <v>18</v>
      </c>
      <c r="I269">
        <v>35</v>
      </c>
      <c r="J269">
        <v>260</v>
      </c>
      <c r="K269" t="s">
        <v>19</v>
      </c>
      <c r="L269" t="s">
        <v>24</v>
      </c>
    </row>
    <row r="270" spans="1:12">
      <c r="A270" t="s">
        <v>312</v>
      </c>
      <c r="B270" s="40">
        <v>46272</v>
      </c>
      <c r="C270" t="s">
        <v>22</v>
      </c>
      <c r="D270" t="s">
        <v>39</v>
      </c>
      <c r="E270" t="s">
        <v>15</v>
      </c>
      <c r="F270" t="s">
        <v>40</v>
      </c>
      <c r="G270" t="s">
        <v>23</v>
      </c>
      <c r="H270" t="s">
        <v>18</v>
      </c>
      <c r="I270">
        <v>34</v>
      </c>
      <c r="J270">
        <v>175</v>
      </c>
      <c r="K270" t="s">
        <v>19</v>
      </c>
      <c r="L270" t="s">
        <v>20</v>
      </c>
    </row>
    <row r="271" spans="1:12">
      <c r="A271" t="s">
        <v>313</v>
      </c>
      <c r="B271" s="40">
        <v>46266</v>
      </c>
      <c r="C271" t="s">
        <v>13</v>
      </c>
      <c r="D271" t="s">
        <v>42</v>
      </c>
      <c r="E271" t="s">
        <v>15</v>
      </c>
      <c r="F271" t="s">
        <v>40</v>
      </c>
      <c r="G271" t="s">
        <v>17</v>
      </c>
      <c r="H271" t="s">
        <v>18</v>
      </c>
      <c r="I271">
        <v>15</v>
      </c>
      <c r="J271">
        <v>260</v>
      </c>
      <c r="K271" t="s">
        <v>20</v>
      </c>
      <c r="L271" t="s">
        <v>24</v>
      </c>
    </row>
    <row r="272" spans="1:12">
      <c r="A272" t="s">
        <v>314</v>
      </c>
      <c r="B272" s="40">
        <v>46262</v>
      </c>
      <c r="C272" t="s">
        <v>13</v>
      </c>
      <c r="D272" t="s">
        <v>39</v>
      </c>
      <c r="E272" t="s">
        <v>15</v>
      </c>
      <c r="F272" t="s">
        <v>40</v>
      </c>
      <c r="G272" t="s">
        <v>35</v>
      </c>
      <c r="H272" t="s">
        <v>30</v>
      </c>
      <c r="I272">
        <v>10</v>
      </c>
      <c r="J272">
        <v>210</v>
      </c>
      <c r="K272" t="s">
        <v>19</v>
      </c>
      <c r="L272" t="s">
        <v>24</v>
      </c>
    </row>
    <row r="273" spans="1:12">
      <c r="A273" t="s">
        <v>315</v>
      </c>
      <c r="B273" s="40">
        <v>46204</v>
      </c>
      <c r="C273" t="s">
        <v>22</v>
      </c>
      <c r="D273" t="s">
        <v>57</v>
      </c>
      <c r="E273" t="s">
        <v>15</v>
      </c>
      <c r="F273" t="s">
        <v>40</v>
      </c>
      <c r="G273" t="s">
        <v>29</v>
      </c>
      <c r="H273" t="s">
        <v>30</v>
      </c>
      <c r="I273">
        <v>3</v>
      </c>
      <c r="J273">
        <v>26</v>
      </c>
      <c r="K273" t="s">
        <v>19</v>
      </c>
      <c r="L273" t="s">
        <v>24</v>
      </c>
    </row>
    <row r="274" spans="1:12">
      <c r="A274" t="s">
        <v>316</v>
      </c>
      <c r="B274" s="40">
        <v>46211</v>
      </c>
      <c r="C274" t="s">
        <v>13</v>
      </c>
      <c r="D274" t="s">
        <v>78</v>
      </c>
      <c r="E274" t="s">
        <v>48</v>
      </c>
      <c r="F274" t="s">
        <v>28</v>
      </c>
      <c r="G274" t="s">
        <v>29</v>
      </c>
      <c r="H274" t="s">
        <v>30</v>
      </c>
      <c r="I274">
        <v>6</v>
      </c>
      <c r="J274">
        <v>26</v>
      </c>
      <c r="K274" t="s">
        <v>20</v>
      </c>
      <c r="L274" t="s">
        <v>24</v>
      </c>
    </row>
    <row r="275" spans="1:12">
      <c r="A275" t="s">
        <v>317</v>
      </c>
      <c r="B275" s="40">
        <v>46286</v>
      </c>
      <c r="C275" t="s">
        <v>52</v>
      </c>
      <c r="D275" t="s">
        <v>57</v>
      </c>
      <c r="E275" t="s">
        <v>15</v>
      </c>
      <c r="F275" t="s">
        <v>40</v>
      </c>
      <c r="G275" t="s">
        <v>35</v>
      </c>
      <c r="H275" t="s">
        <v>30</v>
      </c>
      <c r="I275">
        <v>13</v>
      </c>
      <c r="J275">
        <v>210</v>
      </c>
      <c r="K275" t="s">
        <v>19</v>
      </c>
      <c r="L275" t="s">
        <v>20</v>
      </c>
    </row>
    <row r="276" spans="1:12">
      <c r="A276" t="s">
        <v>318</v>
      </c>
      <c r="B276" s="40">
        <v>46288</v>
      </c>
      <c r="C276" t="s">
        <v>22</v>
      </c>
      <c r="D276" t="s">
        <v>42</v>
      </c>
      <c r="E276" t="s">
        <v>15</v>
      </c>
      <c r="F276" t="s">
        <v>40</v>
      </c>
      <c r="G276" t="s">
        <v>35</v>
      </c>
      <c r="H276" t="s">
        <v>30</v>
      </c>
      <c r="I276">
        <v>26</v>
      </c>
      <c r="J276">
        <v>210</v>
      </c>
      <c r="K276" t="s">
        <v>19</v>
      </c>
      <c r="L276" t="s">
        <v>24</v>
      </c>
    </row>
    <row r="277" spans="1:12">
      <c r="A277" t="s">
        <v>319</v>
      </c>
      <c r="B277" s="40">
        <v>46232</v>
      </c>
      <c r="C277" t="s">
        <v>13</v>
      </c>
      <c r="D277" t="s">
        <v>32</v>
      </c>
      <c r="E277" t="s">
        <v>33</v>
      </c>
      <c r="F277" t="s">
        <v>16</v>
      </c>
      <c r="G277" t="s">
        <v>23</v>
      </c>
      <c r="H277" t="s">
        <v>18</v>
      </c>
      <c r="I277">
        <v>27</v>
      </c>
      <c r="J277">
        <v>175</v>
      </c>
      <c r="K277" t="s">
        <v>20</v>
      </c>
      <c r="L277" t="s">
        <v>58</v>
      </c>
    </row>
    <row r="278" spans="1:12">
      <c r="A278" t="s">
        <v>320</v>
      </c>
      <c r="B278" s="40">
        <v>46233</v>
      </c>
      <c r="C278" t="s">
        <v>22</v>
      </c>
      <c r="D278" t="s">
        <v>42</v>
      </c>
      <c r="E278" t="s">
        <v>15</v>
      </c>
      <c r="F278" t="s">
        <v>40</v>
      </c>
      <c r="G278" t="s">
        <v>29</v>
      </c>
      <c r="H278" t="s">
        <v>30</v>
      </c>
      <c r="I278">
        <v>29</v>
      </c>
      <c r="J278">
        <v>26</v>
      </c>
      <c r="K278" t="s">
        <v>19</v>
      </c>
      <c r="L278" t="s">
        <v>24</v>
      </c>
    </row>
    <row r="279" spans="1:12">
      <c r="A279" t="s">
        <v>321</v>
      </c>
      <c r="B279" s="40">
        <v>46257</v>
      </c>
      <c r="C279" t="s">
        <v>13</v>
      </c>
      <c r="D279" t="s">
        <v>27</v>
      </c>
      <c r="E279" t="s">
        <v>15</v>
      </c>
      <c r="F279" t="s">
        <v>28</v>
      </c>
      <c r="G279" t="s">
        <v>29</v>
      </c>
      <c r="H279" t="s">
        <v>30</v>
      </c>
      <c r="I279">
        <v>78</v>
      </c>
      <c r="J279">
        <v>26</v>
      </c>
      <c r="K279" t="s">
        <v>19</v>
      </c>
      <c r="L279" t="s">
        <v>24</v>
      </c>
    </row>
    <row r="280" spans="1:12">
      <c r="A280" t="s">
        <v>322</v>
      </c>
      <c r="B280" s="40">
        <v>46294</v>
      </c>
      <c r="C280" t="s">
        <v>13</v>
      </c>
      <c r="D280" t="s">
        <v>53</v>
      </c>
      <c r="E280" t="s">
        <v>48</v>
      </c>
      <c r="F280" t="s">
        <v>28</v>
      </c>
      <c r="G280" t="s">
        <v>17</v>
      </c>
      <c r="H280" t="s">
        <v>18</v>
      </c>
      <c r="I280">
        <v>30</v>
      </c>
      <c r="J280">
        <v>260</v>
      </c>
      <c r="K280" t="s">
        <v>19</v>
      </c>
      <c r="L280" t="s">
        <v>24</v>
      </c>
    </row>
    <row r="281" spans="1:12">
      <c r="A281" t="s">
        <v>323</v>
      </c>
      <c r="B281" s="40">
        <v>46211</v>
      </c>
      <c r="C281" t="s">
        <v>22</v>
      </c>
      <c r="D281" t="s">
        <v>42</v>
      </c>
      <c r="E281" t="s">
        <v>15</v>
      </c>
      <c r="F281" t="s">
        <v>40</v>
      </c>
      <c r="G281" t="s">
        <v>45</v>
      </c>
      <c r="H281" t="s">
        <v>18</v>
      </c>
      <c r="I281">
        <v>15</v>
      </c>
      <c r="J281">
        <v>185</v>
      </c>
      <c r="K281" t="s">
        <v>19</v>
      </c>
      <c r="L281" t="s">
        <v>24</v>
      </c>
    </row>
    <row r="282" spans="1:12">
      <c r="A282" t="s">
        <v>324</v>
      </c>
      <c r="B282" s="40">
        <v>46222</v>
      </c>
      <c r="C282" t="s">
        <v>22</v>
      </c>
      <c r="D282" t="s">
        <v>53</v>
      </c>
      <c r="E282" t="s">
        <v>48</v>
      </c>
      <c r="F282" t="s">
        <v>28</v>
      </c>
      <c r="G282" t="s">
        <v>49</v>
      </c>
      <c r="H282" t="s">
        <v>18</v>
      </c>
      <c r="I282">
        <v>22</v>
      </c>
      <c r="J282">
        <v>145</v>
      </c>
      <c r="K282" t="s">
        <v>19</v>
      </c>
      <c r="L282" t="s">
        <v>24</v>
      </c>
    </row>
    <row r="283" spans="1:12">
      <c r="A283" t="s">
        <v>325</v>
      </c>
      <c r="B283" s="40">
        <v>46258</v>
      </c>
      <c r="C283" t="s">
        <v>52</v>
      </c>
      <c r="D283" t="s">
        <v>37</v>
      </c>
      <c r="E283" t="s">
        <v>33</v>
      </c>
      <c r="F283" t="s">
        <v>16</v>
      </c>
      <c r="G283" t="s">
        <v>23</v>
      </c>
      <c r="H283" t="s">
        <v>18</v>
      </c>
      <c r="I283">
        <v>13</v>
      </c>
      <c r="J283">
        <v>175</v>
      </c>
      <c r="K283" t="s">
        <v>19</v>
      </c>
      <c r="L283" t="s">
        <v>24</v>
      </c>
    </row>
    <row r="284" spans="1:12">
      <c r="A284" t="s">
        <v>326</v>
      </c>
      <c r="B284" s="40">
        <v>46256</v>
      </c>
      <c r="C284" t="s">
        <v>22</v>
      </c>
      <c r="D284" t="s">
        <v>47</v>
      </c>
      <c r="E284" t="s">
        <v>48</v>
      </c>
      <c r="F284" t="s">
        <v>16</v>
      </c>
      <c r="G284" t="s">
        <v>23</v>
      </c>
      <c r="H284" t="s">
        <v>18</v>
      </c>
      <c r="I284">
        <v>22</v>
      </c>
      <c r="J284">
        <v>175</v>
      </c>
      <c r="K284" t="s">
        <v>19</v>
      </c>
      <c r="L284" t="s">
        <v>24</v>
      </c>
    </row>
    <row r="285" spans="1:12">
      <c r="A285" t="s">
        <v>327</v>
      </c>
      <c r="B285" s="40">
        <v>46242</v>
      </c>
      <c r="C285" t="s">
        <v>22</v>
      </c>
      <c r="D285" t="s">
        <v>37</v>
      </c>
      <c r="E285" t="s">
        <v>33</v>
      </c>
      <c r="F285" t="s">
        <v>16</v>
      </c>
      <c r="G285" t="s">
        <v>35</v>
      </c>
      <c r="H285" t="s">
        <v>30</v>
      </c>
      <c r="I285">
        <v>17</v>
      </c>
      <c r="J285">
        <v>210</v>
      </c>
      <c r="K285" t="s">
        <v>20</v>
      </c>
      <c r="L285" t="s">
        <v>58</v>
      </c>
    </row>
    <row r="286" spans="1:12">
      <c r="A286" t="s">
        <v>328</v>
      </c>
      <c r="B286" s="40">
        <v>46221</v>
      </c>
      <c r="C286" t="s">
        <v>52</v>
      </c>
      <c r="D286" t="s">
        <v>37</v>
      </c>
      <c r="E286" t="s">
        <v>33</v>
      </c>
      <c r="F286" t="s">
        <v>16</v>
      </c>
      <c r="G286" t="s">
        <v>35</v>
      </c>
      <c r="H286" t="s">
        <v>30</v>
      </c>
      <c r="I286">
        <v>28</v>
      </c>
      <c r="J286">
        <v>210</v>
      </c>
      <c r="K286" t="s">
        <v>19</v>
      </c>
      <c r="L286" t="s">
        <v>24</v>
      </c>
    </row>
    <row r="287" spans="1:12">
      <c r="A287" t="s">
        <v>329</v>
      </c>
      <c r="B287" s="40">
        <v>46228</v>
      </c>
      <c r="C287" t="s">
        <v>13</v>
      </c>
      <c r="D287" t="s">
        <v>14</v>
      </c>
      <c r="E287" t="s">
        <v>15</v>
      </c>
      <c r="F287" t="s">
        <v>16</v>
      </c>
      <c r="G287" t="s">
        <v>35</v>
      </c>
      <c r="H287" t="s">
        <v>30</v>
      </c>
      <c r="I287">
        <v>25</v>
      </c>
      <c r="J287">
        <v>210</v>
      </c>
      <c r="K287" t="s">
        <v>19</v>
      </c>
      <c r="L287" t="s">
        <v>24</v>
      </c>
    </row>
    <row r="288" spans="1:12">
      <c r="A288" t="s">
        <v>330</v>
      </c>
      <c r="B288" s="40">
        <v>46279</v>
      </c>
      <c r="C288" t="s">
        <v>22</v>
      </c>
      <c r="D288" t="s">
        <v>53</v>
      </c>
      <c r="E288" t="s">
        <v>48</v>
      </c>
      <c r="F288" t="s">
        <v>28</v>
      </c>
      <c r="G288" t="s">
        <v>17</v>
      </c>
      <c r="H288" t="s">
        <v>18</v>
      </c>
      <c r="I288">
        <v>6</v>
      </c>
      <c r="J288">
        <v>260</v>
      </c>
      <c r="K288" t="s">
        <v>19</v>
      </c>
      <c r="L288" t="s">
        <v>20</v>
      </c>
    </row>
    <row r="289" spans="1:12">
      <c r="A289" t="s">
        <v>331</v>
      </c>
      <c r="B289" s="40">
        <v>46228</v>
      </c>
      <c r="C289" t="s">
        <v>13</v>
      </c>
      <c r="D289" t="s">
        <v>78</v>
      </c>
      <c r="E289" t="s">
        <v>48</v>
      </c>
      <c r="F289" t="s">
        <v>28</v>
      </c>
      <c r="G289" t="s">
        <v>49</v>
      </c>
      <c r="H289" t="s">
        <v>18</v>
      </c>
      <c r="I289">
        <v>2</v>
      </c>
      <c r="J289">
        <v>145</v>
      </c>
      <c r="K289" t="s">
        <v>20</v>
      </c>
      <c r="L289" t="s">
        <v>20</v>
      </c>
    </row>
    <row r="290" spans="1:12">
      <c r="A290" t="s">
        <v>332</v>
      </c>
      <c r="B290" s="40">
        <v>46234</v>
      </c>
      <c r="C290" t="s">
        <v>26</v>
      </c>
      <c r="D290" t="s">
        <v>27</v>
      </c>
      <c r="E290" t="s">
        <v>15</v>
      </c>
      <c r="F290" t="s">
        <v>28</v>
      </c>
      <c r="G290" t="s">
        <v>29</v>
      </c>
      <c r="H290" t="s">
        <v>30</v>
      </c>
      <c r="I290">
        <v>15</v>
      </c>
      <c r="J290">
        <v>26</v>
      </c>
      <c r="K290" t="s">
        <v>20</v>
      </c>
      <c r="L290" t="s">
        <v>24</v>
      </c>
    </row>
    <row r="291" spans="1:12">
      <c r="A291" t="s">
        <v>333</v>
      </c>
      <c r="B291" s="40">
        <v>46250</v>
      </c>
      <c r="C291" t="s">
        <v>52</v>
      </c>
      <c r="D291" t="s">
        <v>37</v>
      </c>
      <c r="E291" t="s">
        <v>33</v>
      </c>
      <c r="F291" t="s">
        <v>16</v>
      </c>
      <c r="G291" t="s">
        <v>29</v>
      </c>
      <c r="H291" t="s">
        <v>30</v>
      </c>
      <c r="I291">
        <v>24</v>
      </c>
      <c r="J291">
        <v>26</v>
      </c>
      <c r="K291" t="s">
        <v>19</v>
      </c>
      <c r="L291" t="s">
        <v>20</v>
      </c>
    </row>
    <row r="292" spans="1:12">
      <c r="A292" t="s">
        <v>334</v>
      </c>
      <c r="B292" s="40">
        <v>46256</v>
      </c>
      <c r="C292" t="s">
        <v>13</v>
      </c>
      <c r="D292" t="s">
        <v>42</v>
      </c>
      <c r="E292" t="s">
        <v>15</v>
      </c>
      <c r="F292" t="s">
        <v>40</v>
      </c>
      <c r="G292" t="s">
        <v>49</v>
      </c>
      <c r="H292" t="s">
        <v>18</v>
      </c>
      <c r="I292">
        <v>15</v>
      </c>
      <c r="J292">
        <v>145</v>
      </c>
      <c r="K292" t="s">
        <v>19</v>
      </c>
      <c r="L292" t="s">
        <v>24</v>
      </c>
    </row>
    <row r="293" spans="1:12">
      <c r="A293" t="s">
        <v>335</v>
      </c>
      <c r="B293" s="40">
        <v>46278</v>
      </c>
      <c r="C293" t="s">
        <v>52</v>
      </c>
      <c r="D293" t="s">
        <v>32</v>
      </c>
      <c r="E293" t="s">
        <v>33</v>
      </c>
      <c r="F293" t="s">
        <v>16</v>
      </c>
      <c r="G293" t="s">
        <v>17</v>
      </c>
      <c r="H293" t="s">
        <v>18</v>
      </c>
      <c r="I293">
        <v>18</v>
      </c>
      <c r="J293">
        <v>260</v>
      </c>
      <c r="K293" t="s">
        <v>19</v>
      </c>
      <c r="L293" t="s">
        <v>24</v>
      </c>
    </row>
    <row r="294" spans="1:12">
      <c r="A294" t="s">
        <v>336</v>
      </c>
      <c r="B294" s="40">
        <v>46287</v>
      </c>
      <c r="C294" t="s">
        <v>26</v>
      </c>
      <c r="D294" t="s">
        <v>27</v>
      </c>
      <c r="E294" t="s">
        <v>15</v>
      </c>
      <c r="F294" t="s">
        <v>28</v>
      </c>
      <c r="G294" t="s">
        <v>35</v>
      </c>
      <c r="H294" t="s">
        <v>30</v>
      </c>
      <c r="I294">
        <v>17</v>
      </c>
      <c r="J294">
        <v>210</v>
      </c>
      <c r="K294" t="s">
        <v>19</v>
      </c>
      <c r="L294" t="s">
        <v>20</v>
      </c>
    </row>
    <row r="295" spans="1:12">
      <c r="A295" t="s">
        <v>337</v>
      </c>
      <c r="B295" s="40">
        <v>46249</v>
      </c>
      <c r="C295" t="s">
        <v>22</v>
      </c>
      <c r="D295" t="s">
        <v>42</v>
      </c>
      <c r="E295" t="s">
        <v>15</v>
      </c>
      <c r="F295" t="s">
        <v>40</v>
      </c>
      <c r="G295" t="s">
        <v>35</v>
      </c>
      <c r="H295" t="s">
        <v>30</v>
      </c>
      <c r="I295">
        <v>12</v>
      </c>
      <c r="J295">
        <v>210</v>
      </c>
      <c r="K295" t="s">
        <v>19</v>
      </c>
      <c r="L295" t="s">
        <v>24</v>
      </c>
    </row>
    <row r="296" spans="1:12">
      <c r="A296" t="s">
        <v>338</v>
      </c>
      <c r="B296" s="40">
        <v>46213</v>
      </c>
      <c r="C296" t="s">
        <v>13</v>
      </c>
      <c r="D296" t="s">
        <v>32</v>
      </c>
      <c r="E296" t="s">
        <v>33</v>
      </c>
      <c r="F296" t="s">
        <v>16</v>
      </c>
      <c r="G296" t="s">
        <v>23</v>
      </c>
      <c r="H296" t="s">
        <v>18</v>
      </c>
      <c r="I296">
        <v>5</v>
      </c>
      <c r="J296">
        <v>175</v>
      </c>
      <c r="K296" t="s">
        <v>20</v>
      </c>
      <c r="L296" t="s">
        <v>24</v>
      </c>
    </row>
    <row r="297" spans="1:12">
      <c r="A297" t="s">
        <v>339</v>
      </c>
      <c r="B297" s="40">
        <v>46262</v>
      </c>
      <c r="C297" t="s">
        <v>26</v>
      </c>
      <c r="D297" t="s">
        <v>27</v>
      </c>
      <c r="E297" t="s">
        <v>15</v>
      </c>
      <c r="F297" t="s">
        <v>28</v>
      </c>
      <c r="G297" t="s">
        <v>17</v>
      </c>
      <c r="H297" t="s">
        <v>18</v>
      </c>
      <c r="I297">
        <v>68</v>
      </c>
      <c r="J297">
        <v>260</v>
      </c>
      <c r="K297" t="s">
        <v>19</v>
      </c>
      <c r="L297" t="s">
        <v>24</v>
      </c>
    </row>
    <row r="298" spans="1:12">
      <c r="A298" t="s">
        <v>340</v>
      </c>
      <c r="B298" s="40">
        <v>46274</v>
      </c>
      <c r="C298" t="s">
        <v>52</v>
      </c>
      <c r="D298" t="s">
        <v>53</v>
      </c>
      <c r="E298" t="s">
        <v>48</v>
      </c>
      <c r="F298" t="s">
        <v>28</v>
      </c>
      <c r="G298" t="s">
        <v>35</v>
      </c>
      <c r="H298" t="s">
        <v>30</v>
      </c>
      <c r="I298">
        <v>70</v>
      </c>
      <c r="J298">
        <v>210</v>
      </c>
      <c r="K298" t="s">
        <v>19</v>
      </c>
      <c r="L298" t="s">
        <v>24</v>
      </c>
    </row>
    <row r="299" spans="1:12">
      <c r="A299" t="s">
        <v>341</v>
      </c>
      <c r="B299" s="40">
        <v>46290</v>
      </c>
      <c r="C299" t="s">
        <v>52</v>
      </c>
      <c r="D299" t="s">
        <v>57</v>
      </c>
      <c r="E299" t="s">
        <v>15</v>
      </c>
      <c r="F299" t="s">
        <v>40</v>
      </c>
      <c r="G299" t="s">
        <v>23</v>
      </c>
      <c r="H299" t="s">
        <v>18</v>
      </c>
      <c r="I299">
        <v>80</v>
      </c>
      <c r="J299">
        <v>175</v>
      </c>
      <c r="K299" t="s">
        <v>20</v>
      </c>
      <c r="L299" t="s">
        <v>58</v>
      </c>
    </row>
    <row r="300" spans="1:12">
      <c r="A300" t="s">
        <v>342</v>
      </c>
      <c r="B300" s="40">
        <v>46228</v>
      </c>
      <c r="C300" t="s">
        <v>26</v>
      </c>
      <c r="D300" t="s">
        <v>14</v>
      </c>
      <c r="E300" t="s">
        <v>15</v>
      </c>
      <c r="F300" t="s">
        <v>16</v>
      </c>
      <c r="G300" t="s">
        <v>17</v>
      </c>
      <c r="H300" t="s">
        <v>18</v>
      </c>
      <c r="I300">
        <v>35</v>
      </c>
      <c r="J300">
        <v>260</v>
      </c>
      <c r="K300" t="s">
        <v>20</v>
      </c>
      <c r="L300" t="s">
        <v>24</v>
      </c>
    </row>
    <row r="301" spans="1:12">
      <c r="A301" t="s">
        <v>343</v>
      </c>
      <c r="B301" s="40">
        <v>46262</v>
      </c>
      <c r="C301" t="s">
        <v>22</v>
      </c>
      <c r="D301" t="s">
        <v>47</v>
      </c>
      <c r="E301" t="s">
        <v>48</v>
      </c>
      <c r="F301" t="s">
        <v>16</v>
      </c>
      <c r="G301" t="s">
        <v>17</v>
      </c>
      <c r="H301" t="s">
        <v>18</v>
      </c>
      <c r="I301">
        <v>25</v>
      </c>
      <c r="J301">
        <v>260</v>
      </c>
      <c r="K301" t="s">
        <v>20</v>
      </c>
      <c r="L301" t="s">
        <v>24</v>
      </c>
    </row>
    <row r="302" spans="1:12">
      <c r="A302" t="s">
        <v>344</v>
      </c>
      <c r="B302" s="40">
        <v>46252</v>
      </c>
      <c r="C302" t="s">
        <v>52</v>
      </c>
      <c r="D302" t="s">
        <v>14</v>
      </c>
      <c r="E302" t="s">
        <v>15</v>
      </c>
      <c r="F302" t="s">
        <v>16</v>
      </c>
      <c r="G302" t="s">
        <v>29</v>
      </c>
      <c r="H302" t="s">
        <v>30</v>
      </c>
      <c r="I302">
        <v>4</v>
      </c>
      <c r="J302">
        <v>26</v>
      </c>
      <c r="K302" t="s">
        <v>19</v>
      </c>
      <c r="L302" t="s">
        <v>24</v>
      </c>
    </row>
    <row r="303" spans="1:12">
      <c r="A303" t="s">
        <v>345</v>
      </c>
      <c r="B303" s="40">
        <v>46259</v>
      </c>
      <c r="C303" t="s">
        <v>26</v>
      </c>
      <c r="D303" t="s">
        <v>39</v>
      </c>
      <c r="E303" t="s">
        <v>15</v>
      </c>
      <c r="F303" t="s">
        <v>40</v>
      </c>
      <c r="G303" t="s">
        <v>29</v>
      </c>
      <c r="H303" t="s">
        <v>30</v>
      </c>
      <c r="I303">
        <v>12</v>
      </c>
      <c r="J303">
        <v>26</v>
      </c>
      <c r="K303" t="s">
        <v>19</v>
      </c>
      <c r="L303" t="s">
        <v>20</v>
      </c>
    </row>
    <row r="304" spans="1:12">
      <c r="A304" t="s">
        <v>346</v>
      </c>
      <c r="B304" s="40">
        <v>46292</v>
      </c>
      <c r="C304" t="s">
        <v>52</v>
      </c>
      <c r="D304" t="s">
        <v>14</v>
      </c>
      <c r="E304" t="s">
        <v>15</v>
      </c>
      <c r="F304" t="s">
        <v>16</v>
      </c>
      <c r="G304" t="s">
        <v>23</v>
      </c>
      <c r="H304" t="s">
        <v>18</v>
      </c>
      <c r="I304">
        <v>4</v>
      </c>
      <c r="J304">
        <v>175</v>
      </c>
      <c r="K304" t="s">
        <v>19</v>
      </c>
      <c r="L304" t="s">
        <v>58</v>
      </c>
    </row>
    <row r="305" spans="1:12">
      <c r="A305" t="s">
        <v>347</v>
      </c>
      <c r="B305" s="40">
        <v>46244</v>
      </c>
      <c r="C305" t="s">
        <v>13</v>
      </c>
      <c r="D305" t="s">
        <v>57</v>
      </c>
      <c r="E305" t="s">
        <v>15</v>
      </c>
      <c r="F305" t="s">
        <v>40</v>
      </c>
      <c r="G305" t="s">
        <v>23</v>
      </c>
      <c r="H305" t="s">
        <v>18</v>
      </c>
      <c r="I305">
        <v>4</v>
      </c>
      <c r="J305">
        <v>175</v>
      </c>
      <c r="K305" t="s">
        <v>20</v>
      </c>
      <c r="L305" t="s">
        <v>24</v>
      </c>
    </row>
    <row r="306" spans="1:12">
      <c r="A306" t="s">
        <v>348</v>
      </c>
      <c r="B306" s="40">
        <v>46234</v>
      </c>
      <c r="C306" t="s">
        <v>52</v>
      </c>
      <c r="D306" t="s">
        <v>47</v>
      </c>
      <c r="E306" t="s">
        <v>48</v>
      </c>
      <c r="F306" t="s">
        <v>16</v>
      </c>
      <c r="G306" t="s">
        <v>17</v>
      </c>
      <c r="H306" t="s">
        <v>18</v>
      </c>
      <c r="I306">
        <v>21</v>
      </c>
      <c r="J306">
        <v>260</v>
      </c>
      <c r="K306" t="s">
        <v>19</v>
      </c>
      <c r="L306" t="s">
        <v>24</v>
      </c>
    </row>
    <row r="307" spans="1:12">
      <c r="A307" t="s">
        <v>349</v>
      </c>
      <c r="B307" s="40">
        <v>46292</v>
      </c>
      <c r="C307" t="s">
        <v>13</v>
      </c>
      <c r="D307" t="s">
        <v>47</v>
      </c>
      <c r="E307" t="s">
        <v>48</v>
      </c>
      <c r="F307" t="s">
        <v>16</v>
      </c>
      <c r="G307" t="s">
        <v>29</v>
      </c>
      <c r="H307" t="s">
        <v>30</v>
      </c>
      <c r="I307">
        <v>10</v>
      </c>
      <c r="J307">
        <v>26</v>
      </c>
      <c r="K307" t="s">
        <v>19</v>
      </c>
      <c r="L307" t="s">
        <v>58</v>
      </c>
    </row>
    <row r="308" spans="1:12">
      <c r="A308" t="s">
        <v>350</v>
      </c>
      <c r="B308" s="40">
        <v>46213</v>
      </c>
      <c r="C308" t="s">
        <v>26</v>
      </c>
      <c r="D308" t="s">
        <v>39</v>
      </c>
      <c r="E308" t="s">
        <v>15</v>
      </c>
      <c r="F308" t="s">
        <v>40</v>
      </c>
      <c r="G308" t="s">
        <v>17</v>
      </c>
      <c r="H308" t="s">
        <v>18</v>
      </c>
      <c r="I308">
        <v>29</v>
      </c>
      <c r="J308">
        <v>260</v>
      </c>
      <c r="K308" t="s">
        <v>19</v>
      </c>
      <c r="L308" t="s">
        <v>24</v>
      </c>
    </row>
    <row r="309" spans="1:12">
      <c r="A309" t="s">
        <v>351</v>
      </c>
      <c r="B309" s="40">
        <v>46261</v>
      </c>
      <c r="C309" t="s">
        <v>52</v>
      </c>
      <c r="D309" t="s">
        <v>53</v>
      </c>
      <c r="E309" t="s">
        <v>48</v>
      </c>
      <c r="F309" t="s">
        <v>28</v>
      </c>
      <c r="G309" t="s">
        <v>35</v>
      </c>
      <c r="H309" t="s">
        <v>30</v>
      </c>
      <c r="I309">
        <v>53</v>
      </c>
      <c r="J309">
        <v>210</v>
      </c>
      <c r="K309" t="s">
        <v>19</v>
      </c>
      <c r="L309" t="s">
        <v>24</v>
      </c>
    </row>
    <row r="310" spans="1:12">
      <c r="A310" t="s">
        <v>352</v>
      </c>
      <c r="B310" s="40">
        <v>46288</v>
      </c>
      <c r="C310" t="s">
        <v>52</v>
      </c>
      <c r="D310" t="s">
        <v>47</v>
      </c>
      <c r="E310" t="s">
        <v>48</v>
      </c>
      <c r="F310" t="s">
        <v>16</v>
      </c>
      <c r="G310" t="s">
        <v>35</v>
      </c>
      <c r="H310" t="s">
        <v>30</v>
      </c>
      <c r="I310">
        <v>13</v>
      </c>
      <c r="J310">
        <v>210</v>
      </c>
      <c r="K310" t="s">
        <v>19</v>
      </c>
      <c r="L310" t="s">
        <v>24</v>
      </c>
    </row>
    <row r="311" spans="1:12">
      <c r="A311" t="s">
        <v>353</v>
      </c>
      <c r="B311" s="40">
        <v>46223</v>
      </c>
      <c r="C311" t="s">
        <v>52</v>
      </c>
      <c r="D311" t="s">
        <v>27</v>
      </c>
      <c r="E311" t="s">
        <v>15</v>
      </c>
      <c r="F311" t="s">
        <v>28</v>
      </c>
      <c r="G311" t="s">
        <v>29</v>
      </c>
      <c r="H311" t="s">
        <v>30</v>
      </c>
      <c r="I311">
        <v>6</v>
      </c>
      <c r="J311">
        <v>26</v>
      </c>
      <c r="K311" t="s">
        <v>19</v>
      </c>
      <c r="L311" t="s">
        <v>24</v>
      </c>
    </row>
    <row r="312" spans="1:12">
      <c r="A312" t="s">
        <v>354</v>
      </c>
      <c r="B312" s="40">
        <v>46204</v>
      </c>
      <c r="C312" t="s">
        <v>26</v>
      </c>
      <c r="D312" t="s">
        <v>47</v>
      </c>
      <c r="E312" t="s">
        <v>48</v>
      </c>
      <c r="F312" t="s">
        <v>16</v>
      </c>
      <c r="G312" t="s">
        <v>49</v>
      </c>
      <c r="H312" t="s">
        <v>18</v>
      </c>
      <c r="I312">
        <v>25</v>
      </c>
      <c r="J312">
        <v>145</v>
      </c>
      <c r="K312" t="s">
        <v>19</v>
      </c>
      <c r="L312" t="s">
        <v>20</v>
      </c>
    </row>
    <row r="313" spans="1:12">
      <c r="A313" t="s">
        <v>355</v>
      </c>
      <c r="B313" s="40">
        <v>46261</v>
      </c>
      <c r="C313" t="s">
        <v>52</v>
      </c>
      <c r="D313" t="s">
        <v>14</v>
      </c>
      <c r="E313" t="s">
        <v>15</v>
      </c>
      <c r="F313" t="s">
        <v>16</v>
      </c>
      <c r="G313" t="s">
        <v>45</v>
      </c>
      <c r="H313" t="s">
        <v>18</v>
      </c>
      <c r="I313">
        <v>7</v>
      </c>
      <c r="J313">
        <v>185</v>
      </c>
      <c r="K313" t="s">
        <v>19</v>
      </c>
      <c r="L313" t="s">
        <v>24</v>
      </c>
    </row>
    <row r="314" spans="1:12">
      <c r="A314" t="s">
        <v>356</v>
      </c>
      <c r="B314" s="40">
        <v>46205</v>
      </c>
      <c r="C314" t="s">
        <v>26</v>
      </c>
      <c r="D314" t="s">
        <v>37</v>
      </c>
      <c r="E314" t="s">
        <v>33</v>
      </c>
      <c r="F314" t="s">
        <v>16</v>
      </c>
      <c r="G314" t="s">
        <v>17</v>
      </c>
      <c r="H314" t="s">
        <v>18</v>
      </c>
      <c r="I314">
        <v>22</v>
      </c>
      <c r="J314">
        <v>260</v>
      </c>
      <c r="K314" t="s">
        <v>19</v>
      </c>
      <c r="L314" t="s">
        <v>20</v>
      </c>
    </row>
    <row r="315" spans="1:12">
      <c r="A315" t="s">
        <v>357</v>
      </c>
      <c r="B315" s="40">
        <v>46252</v>
      </c>
      <c r="C315" t="s">
        <v>22</v>
      </c>
      <c r="D315" t="s">
        <v>37</v>
      </c>
      <c r="E315" t="s">
        <v>33</v>
      </c>
      <c r="F315" t="s">
        <v>16</v>
      </c>
      <c r="G315" t="s">
        <v>45</v>
      </c>
      <c r="H315" t="s">
        <v>18</v>
      </c>
      <c r="I315">
        <v>35</v>
      </c>
      <c r="J315">
        <v>185</v>
      </c>
      <c r="K315" t="s">
        <v>19</v>
      </c>
      <c r="L315" t="s">
        <v>24</v>
      </c>
    </row>
    <row r="316" spans="1:12">
      <c r="A316" t="s">
        <v>358</v>
      </c>
      <c r="B316" s="40">
        <v>46239</v>
      </c>
      <c r="C316" t="s">
        <v>52</v>
      </c>
      <c r="D316" t="s">
        <v>42</v>
      </c>
      <c r="E316" t="s">
        <v>15</v>
      </c>
      <c r="F316" t="s">
        <v>40</v>
      </c>
      <c r="G316" t="s">
        <v>45</v>
      </c>
      <c r="H316" t="s">
        <v>18</v>
      </c>
      <c r="I316">
        <v>6</v>
      </c>
      <c r="J316">
        <v>185</v>
      </c>
      <c r="K316" t="s">
        <v>19</v>
      </c>
      <c r="L316" t="s">
        <v>20</v>
      </c>
    </row>
    <row r="317" spans="1:12">
      <c r="A317" t="s">
        <v>359</v>
      </c>
      <c r="B317" s="40">
        <v>46267</v>
      </c>
      <c r="C317" t="s">
        <v>22</v>
      </c>
      <c r="D317" t="s">
        <v>78</v>
      </c>
      <c r="E317" t="s">
        <v>48</v>
      </c>
      <c r="F317" t="s">
        <v>28</v>
      </c>
      <c r="G317" t="s">
        <v>49</v>
      </c>
      <c r="H317" t="s">
        <v>18</v>
      </c>
      <c r="I317">
        <v>17</v>
      </c>
      <c r="J317">
        <v>145</v>
      </c>
      <c r="K317" t="s">
        <v>19</v>
      </c>
      <c r="L317" t="s">
        <v>24</v>
      </c>
    </row>
    <row r="318" spans="1:12">
      <c r="A318" t="s">
        <v>360</v>
      </c>
      <c r="B318" s="40">
        <v>46252</v>
      </c>
      <c r="C318" t="s">
        <v>26</v>
      </c>
      <c r="D318" t="s">
        <v>39</v>
      </c>
      <c r="E318" t="s">
        <v>15</v>
      </c>
      <c r="F318" t="s">
        <v>40</v>
      </c>
      <c r="G318" t="s">
        <v>35</v>
      </c>
      <c r="H318" t="s">
        <v>30</v>
      </c>
      <c r="I318">
        <v>23</v>
      </c>
      <c r="J318">
        <v>210</v>
      </c>
      <c r="K318" t="s">
        <v>19</v>
      </c>
      <c r="L318" t="s">
        <v>24</v>
      </c>
    </row>
    <row r="319" spans="1:12">
      <c r="A319" t="s">
        <v>361</v>
      </c>
      <c r="B319" s="40">
        <v>46292</v>
      </c>
      <c r="C319" t="s">
        <v>22</v>
      </c>
      <c r="D319" t="s">
        <v>53</v>
      </c>
      <c r="E319" t="s">
        <v>48</v>
      </c>
      <c r="F319" t="s">
        <v>28</v>
      </c>
      <c r="G319" t="s">
        <v>45</v>
      </c>
      <c r="H319" t="s">
        <v>18</v>
      </c>
      <c r="I319">
        <v>21</v>
      </c>
      <c r="J319">
        <v>185</v>
      </c>
      <c r="K319" t="s">
        <v>19</v>
      </c>
      <c r="L319" t="s">
        <v>24</v>
      </c>
    </row>
    <row r="320" spans="1:12">
      <c r="A320" t="s">
        <v>362</v>
      </c>
      <c r="B320" s="40">
        <v>46285</v>
      </c>
      <c r="C320" t="s">
        <v>52</v>
      </c>
      <c r="D320" t="s">
        <v>47</v>
      </c>
      <c r="E320" t="s">
        <v>48</v>
      </c>
      <c r="F320" t="s">
        <v>16</v>
      </c>
      <c r="G320" t="s">
        <v>49</v>
      </c>
      <c r="H320" t="s">
        <v>18</v>
      </c>
      <c r="I320">
        <v>20</v>
      </c>
      <c r="J320">
        <v>145</v>
      </c>
      <c r="K320" t="s">
        <v>20</v>
      </c>
      <c r="L320" t="s">
        <v>20</v>
      </c>
    </row>
    <row r="321" spans="1:12">
      <c r="A321" t="s">
        <v>363</v>
      </c>
      <c r="B321" s="40">
        <v>46254</v>
      </c>
      <c r="C321" t="s">
        <v>26</v>
      </c>
      <c r="D321" t="s">
        <v>78</v>
      </c>
      <c r="E321" t="s">
        <v>48</v>
      </c>
      <c r="F321" t="s">
        <v>28</v>
      </c>
      <c r="G321" t="s">
        <v>35</v>
      </c>
      <c r="H321" t="s">
        <v>30</v>
      </c>
      <c r="I321">
        <v>19</v>
      </c>
      <c r="J321">
        <v>210</v>
      </c>
      <c r="K321" t="s">
        <v>19</v>
      </c>
      <c r="L321" t="s">
        <v>24</v>
      </c>
    </row>
    <row r="322" spans="1:12">
      <c r="A322" t="s">
        <v>364</v>
      </c>
      <c r="B322" s="40">
        <v>46274</v>
      </c>
      <c r="C322" t="s">
        <v>13</v>
      </c>
      <c r="D322" t="s">
        <v>53</v>
      </c>
      <c r="E322" t="s">
        <v>48</v>
      </c>
      <c r="F322" t="s">
        <v>28</v>
      </c>
      <c r="G322" t="s">
        <v>23</v>
      </c>
      <c r="H322" t="s">
        <v>18</v>
      </c>
      <c r="I322">
        <v>13</v>
      </c>
      <c r="J322">
        <v>175</v>
      </c>
      <c r="K322" t="s">
        <v>20</v>
      </c>
      <c r="L322" t="s">
        <v>24</v>
      </c>
    </row>
    <row r="323" spans="1:12">
      <c r="A323" t="s">
        <v>365</v>
      </c>
      <c r="B323" s="40">
        <v>46212</v>
      </c>
      <c r="C323" t="s">
        <v>52</v>
      </c>
      <c r="D323" t="s">
        <v>27</v>
      </c>
      <c r="E323" t="s">
        <v>15</v>
      </c>
      <c r="F323" t="s">
        <v>28</v>
      </c>
      <c r="G323" t="s">
        <v>35</v>
      </c>
      <c r="H323" t="s">
        <v>30</v>
      </c>
      <c r="I323">
        <v>20</v>
      </c>
      <c r="J323">
        <v>210</v>
      </c>
      <c r="K323" t="s">
        <v>19</v>
      </c>
      <c r="L323" t="s">
        <v>24</v>
      </c>
    </row>
    <row r="324" spans="1:12">
      <c r="A324" t="s">
        <v>366</v>
      </c>
      <c r="B324" s="40">
        <v>46295</v>
      </c>
      <c r="C324" t="s">
        <v>52</v>
      </c>
      <c r="D324" t="s">
        <v>57</v>
      </c>
      <c r="E324" t="s">
        <v>15</v>
      </c>
      <c r="F324" t="s">
        <v>40</v>
      </c>
      <c r="G324" t="s">
        <v>45</v>
      </c>
      <c r="H324" t="s">
        <v>18</v>
      </c>
      <c r="I324">
        <v>18</v>
      </c>
      <c r="J324">
        <v>185</v>
      </c>
      <c r="K324" t="s">
        <v>20</v>
      </c>
      <c r="L324" t="s">
        <v>24</v>
      </c>
    </row>
    <row r="325" spans="1:12">
      <c r="A325" t="s">
        <v>367</v>
      </c>
      <c r="B325" s="40">
        <v>46292</v>
      </c>
      <c r="C325" t="s">
        <v>52</v>
      </c>
      <c r="D325" t="s">
        <v>53</v>
      </c>
      <c r="E325" t="s">
        <v>48</v>
      </c>
      <c r="F325" t="s">
        <v>28</v>
      </c>
      <c r="G325" t="s">
        <v>35</v>
      </c>
      <c r="H325" t="s">
        <v>30</v>
      </c>
      <c r="I325">
        <v>27</v>
      </c>
      <c r="J325">
        <v>210</v>
      </c>
      <c r="K325" t="s">
        <v>19</v>
      </c>
      <c r="L325" t="s">
        <v>20</v>
      </c>
    </row>
    <row r="326" spans="1:12">
      <c r="A326" t="s">
        <v>368</v>
      </c>
      <c r="B326" s="40">
        <v>46235</v>
      </c>
      <c r="C326" t="s">
        <v>26</v>
      </c>
      <c r="D326" t="s">
        <v>78</v>
      </c>
      <c r="E326" t="s">
        <v>48</v>
      </c>
      <c r="F326" t="s">
        <v>28</v>
      </c>
      <c r="G326" t="s">
        <v>29</v>
      </c>
      <c r="H326" t="s">
        <v>30</v>
      </c>
      <c r="I326">
        <v>7</v>
      </c>
      <c r="J326">
        <v>26</v>
      </c>
      <c r="K326" t="s">
        <v>19</v>
      </c>
      <c r="L326" t="s">
        <v>24</v>
      </c>
    </row>
    <row r="327" spans="1:12">
      <c r="A327" t="s">
        <v>369</v>
      </c>
      <c r="B327" s="40">
        <v>46246</v>
      </c>
      <c r="C327" t="s">
        <v>52</v>
      </c>
      <c r="D327" t="s">
        <v>53</v>
      </c>
      <c r="E327" t="s">
        <v>48</v>
      </c>
      <c r="F327" t="s">
        <v>28</v>
      </c>
      <c r="G327" t="s">
        <v>29</v>
      </c>
      <c r="H327" t="s">
        <v>30</v>
      </c>
      <c r="I327">
        <v>27</v>
      </c>
      <c r="J327">
        <v>26</v>
      </c>
      <c r="K327" t="s">
        <v>19</v>
      </c>
      <c r="L327" t="s">
        <v>24</v>
      </c>
    </row>
    <row r="328" spans="1:12">
      <c r="A328" t="s">
        <v>370</v>
      </c>
      <c r="B328" s="40">
        <v>46292</v>
      </c>
      <c r="C328" t="s">
        <v>22</v>
      </c>
      <c r="D328" t="s">
        <v>27</v>
      </c>
      <c r="E328" t="s">
        <v>15</v>
      </c>
      <c r="F328" t="s">
        <v>28</v>
      </c>
      <c r="G328" t="s">
        <v>23</v>
      </c>
      <c r="H328" t="s">
        <v>18</v>
      </c>
      <c r="I328">
        <v>35</v>
      </c>
      <c r="J328">
        <v>175</v>
      </c>
      <c r="K328" t="s">
        <v>19</v>
      </c>
      <c r="L328" t="s">
        <v>24</v>
      </c>
    </row>
    <row r="329" spans="1:12">
      <c r="A329" t="s">
        <v>371</v>
      </c>
      <c r="B329" s="40">
        <v>46207</v>
      </c>
      <c r="C329" t="s">
        <v>52</v>
      </c>
      <c r="D329" t="s">
        <v>53</v>
      </c>
      <c r="E329" t="s">
        <v>48</v>
      </c>
      <c r="F329" t="s">
        <v>28</v>
      </c>
      <c r="G329" t="s">
        <v>29</v>
      </c>
      <c r="H329" t="s">
        <v>30</v>
      </c>
      <c r="I329">
        <v>34</v>
      </c>
      <c r="J329">
        <v>26</v>
      </c>
      <c r="K329" t="s">
        <v>19</v>
      </c>
      <c r="L329" t="s">
        <v>24</v>
      </c>
    </row>
    <row r="330" spans="1:12">
      <c r="A330" t="s">
        <v>372</v>
      </c>
      <c r="B330" s="40">
        <v>46247</v>
      </c>
      <c r="C330" t="s">
        <v>52</v>
      </c>
      <c r="D330" t="s">
        <v>14</v>
      </c>
      <c r="E330" t="s">
        <v>15</v>
      </c>
      <c r="F330" t="s">
        <v>16</v>
      </c>
      <c r="G330" t="s">
        <v>17</v>
      </c>
      <c r="H330" t="s">
        <v>18</v>
      </c>
      <c r="I330">
        <v>11</v>
      </c>
      <c r="J330">
        <v>260</v>
      </c>
      <c r="K330" t="s">
        <v>20</v>
      </c>
      <c r="L330" t="s">
        <v>24</v>
      </c>
    </row>
    <row r="331" spans="1:12">
      <c r="A331" t="s">
        <v>373</v>
      </c>
      <c r="B331" s="40">
        <v>46293</v>
      </c>
      <c r="C331" t="s">
        <v>52</v>
      </c>
      <c r="D331" t="s">
        <v>78</v>
      </c>
      <c r="E331" t="s">
        <v>48</v>
      </c>
      <c r="F331" t="s">
        <v>28</v>
      </c>
      <c r="G331" t="s">
        <v>35</v>
      </c>
      <c r="H331" t="s">
        <v>30</v>
      </c>
      <c r="I331">
        <v>8</v>
      </c>
      <c r="J331">
        <v>210</v>
      </c>
      <c r="K331" t="s">
        <v>19</v>
      </c>
      <c r="L331" t="s">
        <v>24</v>
      </c>
    </row>
    <row r="332" spans="1:12">
      <c r="A332" t="s">
        <v>374</v>
      </c>
      <c r="B332" s="40">
        <v>46290</v>
      </c>
      <c r="C332" t="s">
        <v>22</v>
      </c>
      <c r="D332" t="s">
        <v>14</v>
      </c>
      <c r="E332" t="s">
        <v>15</v>
      </c>
      <c r="F332" t="s">
        <v>16</v>
      </c>
      <c r="G332" t="s">
        <v>17</v>
      </c>
      <c r="H332" t="s">
        <v>18</v>
      </c>
      <c r="I332">
        <v>23</v>
      </c>
      <c r="J332">
        <v>260</v>
      </c>
      <c r="K332" t="s">
        <v>20</v>
      </c>
      <c r="L332" t="s">
        <v>20</v>
      </c>
    </row>
    <row r="333" spans="1:12">
      <c r="A333" t="s">
        <v>375</v>
      </c>
      <c r="B333" s="40">
        <v>46258</v>
      </c>
      <c r="C333" t="s">
        <v>52</v>
      </c>
      <c r="D333" t="s">
        <v>37</v>
      </c>
      <c r="E333" t="s">
        <v>33</v>
      </c>
      <c r="F333" t="s">
        <v>16</v>
      </c>
      <c r="G333" t="s">
        <v>45</v>
      </c>
      <c r="H333" t="s">
        <v>18</v>
      </c>
      <c r="I333">
        <v>12</v>
      </c>
      <c r="J333">
        <v>185</v>
      </c>
      <c r="K333" t="s">
        <v>19</v>
      </c>
      <c r="L333" t="s">
        <v>24</v>
      </c>
    </row>
    <row r="334" spans="1:12">
      <c r="A334" t="s">
        <v>376</v>
      </c>
      <c r="B334" s="40">
        <v>46282</v>
      </c>
      <c r="C334" t="s">
        <v>22</v>
      </c>
      <c r="D334" t="s">
        <v>32</v>
      </c>
      <c r="E334" t="s">
        <v>33</v>
      </c>
      <c r="F334" t="s">
        <v>16</v>
      </c>
      <c r="G334" t="s">
        <v>45</v>
      </c>
      <c r="H334" t="s">
        <v>18</v>
      </c>
      <c r="I334">
        <v>29</v>
      </c>
      <c r="J334">
        <v>185</v>
      </c>
      <c r="K334" t="s">
        <v>19</v>
      </c>
      <c r="L334" t="s">
        <v>24</v>
      </c>
    </row>
    <row r="335" spans="1:12">
      <c r="A335" t="s">
        <v>377</v>
      </c>
      <c r="B335" s="40">
        <v>46294</v>
      </c>
      <c r="C335" t="s">
        <v>13</v>
      </c>
      <c r="D335" t="s">
        <v>39</v>
      </c>
      <c r="E335" t="s">
        <v>15</v>
      </c>
      <c r="F335" t="s">
        <v>40</v>
      </c>
      <c r="G335" t="s">
        <v>29</v>
      </c>
      <c r="H335" t="s">
        <v>30</v>
      </c>
      <c r="I335">
        <v>15</v>
      </c>
      <c r="J335">
        <v>26</v>
      </c>
      <c r="K335" t="s">
        <v>19</v>
      </c>
      <c r="L335" t="s">
        <v>20</v>
      </c>
    </row>
    <row r="336" spans="1:12">
      <c r="A336" t="s">
        <v>378</v>
      </c>
      <c r="B336" s="40">
        <v>46262</v>
      </c>
      <c r="C336" t="s">
        <v>13</v>
      </c>
      <c r="D336" t="s">
        <v>37</v>
      </c>
      <c r="E336" t="s">
        <v>33</v>
      </c>
      <c r="F336" t="s">
        <v>16</v>
      </c>
      <c r="G336" t="s">
        <v>45</v>
      </c>
      <c r="H336" t="s">
        <v>18</v>
      </c>
      <c r="I336">
        <v>25</v>
      </c>
      <c r="J336">
        <v>185</v>
      </c>
      <c r="K336" t="s">
        <v>19</v>
      </c>
      <c r="L336" t="s">
        <v>20</v>
      </c>
    </row>
    <row r="337" spans="1:12">
      <c r="A337" t="s">
        <v>379</v>
      </c>
      <c r="B337" s="40">
        <v>46282</v>
      </c>
      <c r="C337" t="s">
        <v>52</v>
      </c>
      <c r="D337" t="s">
        <v>37</v>
      </c>
      <c r="E337" t="s">
        <v>33</v>
      </c>
      <c r="F337" t="s">
        <v>16</v>
      </c>
      <c r="G337" t="s">
        <v>29</v>
      </c>
      <c r="H337" t="s">
        <v>30</v>
      </c>
      <c r="I337">
        <v>22</v>
      </c>
      <c r="J337">
        <v>26</v>
      </c>
      <c r="K337" t="s">
        <v>19</v>
      </c>
      <c r="L337" t="s">
        <v>24</v>
      </c>
    </row>
    <row r="338" spans="1:12">
      <c r="A338" t="s">
        <v>380</v>
      </c>
      <c r="B338" s="40">
        <v>46294</v>
      </c>
      <c r="C338" t="s">
        <v>26</v>
      </c>
      <c r="D338" t="s">
        <v>42</v>
      </c>
      <c r="E338" t="s">
        <v>15</v>
      </c>
      <c r="F338" t="s">
        <v>40</v>
      </c>
      <c r="G338" t="s">
        <v>23</v>
      </c>
      <c r="H338" t="s">
        <v>18</v>
      </c>
      <c r="I338">
        <v>13</v>
      </c>
      <c r="J338">
        <v>175</v>
      </c>
      <c r="K338" t="s">
        <v>20</v>
      </c>
      <c r="L338" t="s">
        <v>24</v>
      </c>
    </row>
    <row r="339" spans="1:12">
      <c r="A339" t="s">
        <v>381</v>
      </c>
      <c r="B339" s="40">
        <v>46218</v>
      </c>
      <c r="C339" t="s">
        <v>22</v>
      </c>
      <c r="D339" t="s">
        <v>32</v>
      </c>
      <c r="E339" t="s">
        <v>33</v>
      </c>
      <c r="F339" t="s">
        <v>16</v>
      </c>
      <c r="G339" t="s">
        <v>49</v>
      </c>
      <c r="H339" t="s">
        <v>18</v>
      </c>
      <c r="I339">
        <v>9</v>
      </c>
      <c r="J339">
        <v>145</v>
      </c>
      <c r="K339" t="s">
        <v>19</v>
      </c>
      <c r="L339" t="s">
        <v>24</v>
      </c>
    </row>
    <row r="340" spans="1:12">
      <c r="A340" t="s">
        <v>382</v>
      </c>
      <c r="B340" s="40">
        <v>46258</v>
      </c>
      <c r="C340" t="s">
        <v>22</v>
      </c>
      <c r="D340" t="s">
        <v>47</v>
      </c>
      <c r="E340" t="s">
        <v>48</v>
      </c>
      <c r="F340" t="s">
        <v>16</v>
      </c>
      <c r="G340" t="s">
        <v>35</v>
      </c>
      <c r="H340" t="s">
        <v>30</v>
      </c>
      <c r="I340">
        <v>10</v>
      </c>
      <c r="J340">
        <v>210</v>
      </c>
      <c r="K340" t="s">
        <v>19</v>
      </c>
      <c r="L340" t="s">
        <v>24</v>
      </c>
    </row>
    <row r="341" spans="1:12">
      <c r="A341" t="s">
        <v>383</v>
      </c>
      <c r="B341" s="40">
        <v>46221</v>
      </c>
      <c r="C341" t="s">
        <v>22</v>
      </c>
      <c r="D341" t="s">
        <v>32</v>
      </c>
      <c r="E341" t="s">
        <v>33</v>
      </c>
      <c r="F341" t="s">
        <v>16</v>
      </c>
      <c r="G341" t="s">
        <v>23</v>
      </c>
      <c r="H341" t="s">
        <v>18</v>
      </c>
      <c r="I341">
        <v>12</v>
      </c>
      <c r="J341">
        <v>175</v>
      </c>
      <c r="K341" t="s">
        <v>19</v>
      </c>
      <c r="L341" t="s">
        <v>24</v>
      </c>
    </row>
    <row r="342" spans="1:12">
      <c r="A342" t="s">
        <v>384</v>
      </c>
      <c r="B342" s="40">
        <v>46228</v>
      </c>
      <c r="C342" t="s">
        <v>52</v>
      </c>
      <c r="D342" t="s">
        <v>39</v>
      </c>
      <c r="E342" t="s">
        <v>15</v>
      </c>
      <c r="F342" t="s">
        <v>40</v>
      </c>
      <c r="G342" t="s">
        <v>49</v>
      </c>
      <c r="H342" t="s">
        <v>18</v>
      </c>
      <c r="I342">
        <v>2</v>
      </c>
      <c r="J342">
        <v>145</v>
      </c>
      <c r="K342" t="s">
        <v>20</v>
      </c>
      <c r="L342" t="s">
        <v>24</v>
      </c>
    </row>
    <row r="343" spans="1:12">
      <c r="A343" t="s">
        <v>385</v>
      </c>
      <c r="B343" s="40">
        <v>46260</v>
      </c>
      <c r="C343" t="s">
        <v>52</v>
      </c>
      <c r="D343" t="s">
        <v>42</v>
      </c>
      <c r="E343" t="s">
        <v>15</v>
      </c>
      <c r="F343" t="s">
        <v>40</v>
      </c>
      <c r="G343" t="s">
        <v>35</v>
      </c>
      <c r="H343" t="s">
        <v>30</v>
      </c>
      <c r="I343">
        <v>33</v>
      </c>
      <c r="J343">
        <v>210</v>
      </c>
      <c r="K343" t="s">
        <v>19</v>
      </c>
      <c r="L343" t="s">
        <v>24</v>
      </c>
    </row>
    <row r="344" spans="1:12">
      <c r="A344" t="s">
        <v>386</v>
      </c>
      <c r="B344" s="40">
        <v>46272</v>
      </c>
      <c r="C344" t="s">
        <v>26</v>
      </c>
      <c r="D344" t="s">
        <v>27</v>
      </c>
      <c r="E344" t="s">
        <v>15</v>
      </c>
      <c r="F344" t="s">
        <v>28</v>
      </c>
      <c r="G344" t="s">
        <v>49</v>
      </c>
      <c r="H344" t="s">
        <v>18</v>
      </c>
      <c r="I344">
        <v>4</v>
      </c>
      <c r="J344">
        <v>145</v>
      </c>
      <c r="K344" t="s">
        <v>19</v>
      </c>
      <c r="L344" t="s">
        <v>24</v>
      </c>
    </row>
    <row r="345" spans="1:12">
      <c r="A345" t="s">
        <v>387</v>
      </c>
      <c r="B345" s="40">
        <v>46218</v>
      </c>
      <c r="C345" t="s">
        <v>26</v>
      </c>
      <c r="D345" t="s">
        <v>42</v>
      </c>
      <c r="E345" t="s">
        <v>15</v>
      </c>
      <c r="F345" t="s">
        <v>40</v>
      </c>
      <c r="G345" t="s">
        <v>23</v>
      </c>
      <c r="H345" t="s">
        <v>18</v>
      </c>
      <c r="I345">
        <v>34</v>
      </c>
      <c r="J345">
        <v>175</v>
      </c>
      <c r="K345" t="s">
        <v>20</v>
      </c>
      <c r="L345" t="s">
        <v>20</v>
      </c>
    </row>
    <row r="346" spans="1:12">
      <c r="A346" t="s">
        <v>388</v>
      </c>
      <c r="B346" s="40">
        <v>46260</v>
      </c>
      <c r="C346" t="s">
        <v>22</v>
      </c>
      <c r="D346" t="s">
        <v>78</v>
      </c>
      <c r="E346" t="s">
        <v>48</v>
      </c>
      <c r="F346" t="s">
        <v>28</v>
      </c>
      <c r="G346" t="s">
        <v>23</v>
      </c>
      <c r="H346" t="s">
        <v>18</v>
      </c>
      <c r="I346">
        <v>4</v>
      </c>
      <c r="J346">
        <v>175</v>
      </c>
      <c r="K346" t="s">
        <v>20</v>
      </c>
      <c r="L346" t="s">
        <v>24</v>
      </c>
    </row>
    <row r="347" spans="1:12">
      <c r="A347" t="s">
        <v>389</v>
      </c>
      <c r="B347" s="40">
        <v>46248</v>
      </c>
      <c r="C347" t="s">
        <v>13</v>
      </c>
      <c r="D347" t="s">
        <v>27</v>
      </c>
      <c r="E347" t="s">
        <v>15</v>
      </c>
      <c r="F347" t="s">
        <v>28</v>
      </c>
      <c r="G347" t="s">
        <v>49</v>
      </c>
      <c r="H347" t="s">
        <v>18</v>
      </c>
      <c r="I347">
        <v>4</v>
      </c>
      <c r="J347">
        <v>145</v>
      </c>
      <c r="K347" t="s">
        <v>19</v>
      </c>
      <c r="L347" t="s">
        <v>58</v>
      </c>
    </row>
    <row r="348" spans="1:12">
      <c r="A348" t="s">
        <v>390</v>
      </c>
      <c r="B348" s="40">
        <v>46282</v>
      </c>
      <c r="C348" t="s">
        <v>52</v>
      </c>
      <c r="D348" t="s">
        <v>27</v>
      </c>
      <c r="E348" t="s">
        <v>15</v>
      </c>
      <c r="F348" t="s">
        <v>28</v>
      </c>
      <c r="G348" t="s">
        <v>45</v>
      </c>
      <c r="H348" t="s">
        <v>18</v>
      </c>
      <c r="I348">
        <v>24</v>
      </c>
      <c r="J348">
        <v>185</v>
      </c>
      <c r="K348" t="s">
        <v>19</v>
      </c>
      <c r="L348" t="s">
        <v>24</v>
      </c>
    </row>
    <row r="349" spans="1:12">
      <c r="A349" t="s">
        <v>391</v>
      </c>
      <c r="B349" s="40">
        <v>46272</v>
      </c>
      <c r="C349" t="s">
        <v>26</v>
      </c>
      <c r="D349" t="s">
        <v>27</v>
      </c>
      <c r="E349" t="s">
        <v>15</v>
      </c>
      <c r="F349" t="s">
        <v>28</v>
      </c>
      <c r="G349" t="s">
        <v>45</v>
      </c>
      <c r="H349" t="s">
        <v>18</v>
      </c>
      <c r="I349">
        <v>5</v>
      </c>
      <c r="J349">
        <v>185</v>
      </c>
      <c r="K349" t="s">
        <v>19</v>
      </c>
      <c r="L349" t="s">
        <v>24</v>
      </c>
    </row>
    <row r="350" spans="1:12">
      <c r="A350" t="s">
        <v>392</v>
      </c>
      <c r="B350" s="40">
        <v>46269</v>
      </c>
      <c r="C350" t="s">
        <v>13</v>
      </c>
      <c r="D350" t="s">
        <v>57</v>
      </c>
      <c r="E350" t="s">
        <v>15</v>
      </c>
      <c r="F350" t="s">
        <v>40</v>
      </c>
      <c r="G350" t="s">
        <v>49</v>
      </c>
      <c r="H350" t="s">
        <v>18</v>
      </c>
      <c r="I350">
        <v>19</v>
      </c>
      <c r="J350">
        <v>145</v>
      </c>
      <c r="K350" t="s">
        <v>19</v>
      </c>
      <c r="L350" t="s">
        <v>20</v>
      </c>
    </row>
    <row r="351" spans="1:12">
      <c r="A351" t="s">
        <v>393</v>
      </c>
      <c r="B351" s="40">
        <v>46220</v>
      </c>
      <c r="C351" t="s">
        <v>22</v>
      </c>
      <c r="D351" t="s">
        <v>47</v>
      </c>
      <c r="E351" t="s">
        <v>48</v>
      </c>
      <c r="F351" t="s">
        <v>16</v>
      </c>
      <c r="G351" t="s">
        <v>17</v>
      </c>
      <c r="H351" t="s">
        <v>18</v>
      </c>
      <c r="I351">
        <v>19</v>
      </c>
      <c r="J351">
        <v>260</v>
      </c>
      <c r="K351" t="s">
        <v>19</v>
      </c>
      <c r="L351" t="s">
        <v>20</v>
      </c>
    </row>
    <row r="352" spans="1:12">
      <c r="A352" t="s">
        <v>394</v>
      </c>
      <c r="B352" s="40">
        <v>46277</v>
      </c>
      <c r="C352" t="s">
        <v>26</v>
      </c>
      <c r="D352" t="s">
        <v>27</v>
      </c>
      <c r="E352" t="s">
        <v>15</v>
      </c>
      <c r="F352" t="s">
        <v>28</v>
      </c>
      <c r="G352" t="s">
        <v>29</v>
      </c>
      <c r="H352" t="s">
        <v>30</v>
      </c>
      <c r="I352">
        <v>27</v>
      </c>
      <c r="J352">
        <v>26</v>
      </c>
      <c r="K352" t="s">
        <v>19</v>
      </c>
      <c r="L352" t="s">
        <v>24</v>
      </c>
    </row>
    <row r="353" spans="1:12">
      <c r="A353" t="s">
        <v>395</v>
      </c>
      <c r="B353" s="40">
        <v>46239</v>
      </c>
      <c r="C353" t="s">
        <v>26</v>
      </c>
      <c r="D353" t="s">
        <v>14</v>
      </c>
      <c r="E353" t="s">
        <v>15</v>
      </c>
      <c r="F353" t="s">
        <v>16</v>
      </c>
      <c r="G353" t="s">
        <v>29</v>
      </c>
      <c r="H353" t="s">
        <v>30</v>
      </c>
      <c r="I353">
        <v>7</v>
      </c>
      <c r="J353">
        <v>26</v>
      </c>
      <c r="K353" t="s">
        <v>19</v>
      </c>
      <c r="L353" t="s">
        <v>24</v>
      </c>
    </row>
    <row r="354" spans="1:12">
      <c r="A354" t="s">
        <v>396</v>
      </c>
      <c r="B354" s="40">
        <v>46262</v>
      </c>
      <c r="C354" t="s">
        <v>26</v>
      </c>
      <c r="D354" t="s">
        <v>53</v>
      </c>
      <c r="E354" t="s">
        <v>48</v>
      </c>
      <c r="F354" t="s">
        <v>28</v>
      </c>
      <c r="G354" t="s">
        <v>17</v>
      </c>
      <c r="H354" t="s">
        <v>18</v>
      </c>
      <c r="I354">
        <v>7</v>
      </c>
      <c r="J354">
        <v>260</v>
      </c>
      <c r="K354" t="s">
        <v>20</v>
      </c>
      <c r="L354" t="s">
        <v>20</v>
      </c>
    </row>
    <row r="355" spans="1:12">
      <c r="A355" t="s">
        <v>397</v>
      </c>
      <c r="B355" s="40">
        <v>46267</v>
      </c>
      <c r="C355" t="s">
        <v>26</v>
      </c>
      <c r="D355" t="s">
        <v>47</v>
      </c>
      <c r="E355" t="s">
        <v>48</v>
      </c>
      <c r="F355" t="s">
        <v>16</v>
      </c>
      <c r="G355" t="s">
        <v>45</v>
      </c>
      <c r="H355" t="s">
        <v>18</v>
      </c>
      <c r="I355">
        <v>29</v>
      </c>
      <c r="J355">
        <v>185</v>
      </c>
      <c r="K355" t="s">
        <v>19</v>
      </c>
      <c r="L355" t="s">
        <v>24</v>
      </c>
    </row>
    <row r="356" spans="1:12">
      <c r="A356" t="s">
        <v>398</v>
      </c>
      <c r="B356" s="40">
        <v>46266</v>
      </c>
      <c r="C356" t="s">
        <v>26</v>
      </c>
      <c r="D356" t="s">
        <v>37</v>
      </c>
      <c r="E356" t="s">
        <v>33</v>
      </c>
      <c r="F356" t="s">
        <v>16</v>
      </c>
      <c r="G356" t="s">
        <v>23</v>
      </c>
      <c r="H356" t="s">
        <v>18</v>
      </c>
      <c r="I356">
        <v>10</v>
      </c>
      <c r="J356">
        <v>175</v>
      </c>
      <c r="K356" t="s">
        <v>20</v>
      </c>
      <c r="L356" t="s">
        <v>20</v>
      </c>
    </row>
    <row r="357" spans="1:12">
      <c r="A357" t="s">
        <v>399</v>
      </c>
      <c r="B357" s="40">
        <v>46260</v>
      </c>
      <c r="C357" t="s">
        <v>52</v>
      </c>
      <c r="D357" t="s">
        <v>39</v>
      </c>
      <c r="E357" t="s">
        <v>15</v>
      </c>
      <c r="F357" t="s">
        <v>40</v>
      </c>
      <c r="G357" t="s">
        <v>17</v>
      </c>
      <c r="H357" t="s">
        <v>18</v>
      </c>
      <c r="I357">
        <v>46</v>
      </c>
      <c r="J357">
        <v>260</v>
      </c>
      <c r="K357" t="s">
        <v>19</v>
      </c>
      <c r="L357" t="s">
        <v>58</v>
      </c>
    </row>
    <row r="358" spans="1:12">
      <c r="A358" t="s">
        <v>400</v>
      </c>
      <c r="B358" s="40">
        <v>46242</v>
      </c>
      <c r="C358" t="s">
        <v>22</v>
      </c>
      <c r="D358" t="s">
        <v>27</v>
      </c>
      <c r="E358" t="s">
        <v>15</v>
      </c>
      <c r="F358" t="s">
        <v>28</v>
      </c>
      <c r="G358" t="s">
        <v>29</v>
      </c>
      <c r="H358" t="s">
        <v>30</v>
      </c>
      <c r="I358">
        <v>10</v>
      </c>
      <c r="J358">
        <v>26</v>
      </c>
      <c r="K358" t="s">
        <v>20</v>
      </c>
      <c r="L358" t="s">
        <v>20</v>
      </c>
    </row>
    <row r="359" spans="1:12">
      <c r="A359" t="s">
        <v>401</v>
      </c>
      <c r="B359" s="40">
        <v>46251</v>
      </c>
      <c r="C359" t="s">
        <v>22</v>
      </c>
      <c r="D359" t="s">
        <v>14</v>
      </c>
      <c r="E359" t="s">
        <v>15</v>
      </c>
      <c r="F359" t="s">
        <v>16</v>
      </c>
      <c r="G359" t="s">
        <v>29</v>
      </c>
      <c r="H359" t="s">
        <v>30</v>
      </c>
      <c r="I359">
        <v>25</v>
      </c>
      <c r="J359">
        <v>26</v>
      </c>
      <c r="K359" t="s">
        <v>19</v>
      </c>
      <c r="L359" t="s">
        <v>24</v>
      </c>
    </row>
    <row r="360" spans="1:12">
      <c r="A360" t="s">
        <v>402</v>
      </c>
      <c r="B360" s="40">
        <v>46204</v>
      </c>
      <c r="C360" t="s">
        <v>22</v>
      </c>
      <c r="D360" t="s">
        <v>27</v>
      </c>
      <c r="E360" t="s">
        <v>15</v>
      </c>
      <c r="F360" t="s">
        <v>28</v>
      </c>
      <c r="G360" t="s">
        <v>35</v>
      </c>
      <c r="H360" t="s">
        <v>30</v>
      </c>
      <c r="I360">
        <v>7</v>
      </c>
      <c r="J360">
        <v>210</v>
      </c>
      <c r="K360" t="s">
        <v>19</v>
      </c>
      <c r="L360" t="s">
        <v>24</v>
      </c>
    </row>
    <row r="361" spans="1:12">
      <c r="A361" t="s">
        <v>403</v>
      </c>
      <c r="B361" s="40">
        <v>46247</v>
      </c>
      <c r="C361" t="s">
        <v>13</v>
      </c>
      <c r="D361" t="s">
        <v>27</v>
      </c>
      <c r="E361" t="s">
        <v>15</v>
      </c>
      <c r="F361" t="s">
        <v>28</v>
      </c>
      <c r="G361" t="s">
        <v>23</v>
      </c>
      <c r="H361" t="s">
        <v>18</v>
      </c>
      <c r="I361">
        <v>80</v>
      </c>
      <c r="J361">
        <v>175</v>
      </c>
      <c r="K361" t="s">
        <v>20</v>
      </c>
      <c r="L361" t="s">
        <v>24</v>
      </c>
    </row>
    <row r="362" spans="1:12">
      <c r="A362" t="s">
        <v>404</v>
      </c>
      <c r="B362" s="40">
        <v>46215</v>
      </c>
      <c r="C362" t="s">
        <v>13</v>
      </c>
      <c r="D362" t="s">
        <v>32</v>
      </c>
      <c r="E362" t="s">
        <v>33</v>
      </c>
      <c r="F362" t="s">
        <v>16</v>
      </c>
      <c r="G362" t="s">
        <v>35</v>
      </c>
      <c r="H362" t="s">
        <v>30</v>
      </c>
      <c r="I362">
        <v>6</v>
      </c>
      <c r="J362">
        <v>210</v>
      </c>
      <c r="K362" t="s">
        <v>19</v>
      </c>
      <c r="L362" t="s">
        <v>24</v>
      </c>
    </row>
    <row r="363" spans="1:12">
      <c r="A363" t="s">
        <v>405</v>
      </c>
      <c r="B363" s="40">
        <v>46221</v>
      </c>
      <c r="C363" t="s">
        <v>22</v>
      </c>
      <c r="D363" t="s">
        <v>57</v>
      </c>
      <c r="E363" t="s">
        <v>15</v>
      </c>
      <c r="F363" t="s">
        <v>40</v>
      </c>
      <c r="G363" t="s">
        <v>45</v>
      </c>
      <c r="H363" t="s">
        <v>18</v>
      </c>
      <c r="I363">
        <v>26</v>
      </c>
      <c r="J363">
        <v>185</v>
      </c>
      <c r="K363" t="s">
        <v>19</v>
      </c>
      <c r="L363" t="s">
        <v>24</v>
      </c>
    </row>
    <row r="364" spans="1:12">
      <c r="A364" t="s">
        <v>406</v>
      </c>
      <c r="B364" s="40">
        <v>46231</v>
      </c>
      <c r="C364" t="s">
        <v>22</v>
      </c>
      <c r="D364" t="s">
        <v>53</v>
      </c>
      <c r="E364" t="s">
        <v>48</v>
      </c>
      <c r="F364" t="s">
        <v>28</v>
      </c>
      <c r="G364" t="s">
        <v>29</v>
      </c>
      <c r="H364" t="s">
        <v>30</v>
      </c>
      <c r="I364">
        <v>12</v>
      </c>
      <c r="J364">
        <v>26</v>
      </c>
      <c r="K364" t="s">
        <v>20</v>
      </c>
      <c r="L364" t="s">
        <v>24</v>
      </c>
    </row>
    <row r="365" spans="1:12">
      <c r="A365" t="s">
        <v>407</v>
      </c>
      <c r="B365" s="40">
        <v>46221</v>
      </c>
      <c r="C365" t="s">
        <v>13</v>
      </c>
      <c r="D365" t="s">
        <v>42</v>
      </c>
      <c r="E365" t="s">
        <v>15</v>
      </c>
      <c r="F365" t="s">
        <v>40</v>
      </c>
      <c r="G365" t="s">
        <v>45</v>
      </c>
      <c r="H365" t="s">
        <v>18</v>
      </c>
      <c r="I365">
        <v>7</v>
      </c>
      <c r="J365">
        <v>185</v>
      </c>
      <c r="K365" t="s">
        <v>19</v>
      </c>
      <c r="L365" t="s">
        <v>24</v>
      </c>
    </row>
    <row r="366" spans="1:12">
      <c r="A366" t="s">
        <v>408</v>
      </c>
      <c r="B366" s="40">
        <v>46286</v>
      </c>
      <c r="C366" t="s">
        <v>13</v>
      </c>
      <c r="D366" t="s">
        <v>47</v>
      </c>
      <c r="E366" t="s">
        <v>48</v>
      </c>
      <c r="F366" t="s">
        <v>16</v>
      </c>
      <c r="G366" t="s">
        <v>49</v>
      </c>
      <c r="H366" t="s">
        <v>18</v>
      </c>
      <c r="I366">
        <v>10</v>
      </c>
      <c r="J366">
        <v>145</v>
      </c>
      <c r="K366" t="s">
        <v>19</v>
      </c>
      <c r="L366" t="s">
        <v>24</v>
      </c>
    </row>
    <row r="367" spans="1:12">
      <c r="A367" t="s">
        <v>409</v>
      </c>
      <c r="B367" s="40">
        <v>46288</v>
      </c>
      <c r="C367" t="s">
        <v>26</v>
      </c>
      <c r="D367" t="s">
        <v>53</v>
      </c>
      <c r="E367" t="s">
        <v>48</v>
      </c>
      <c r="F367" t="s">
        <v>28</v>
      </c>
      <c r="G367" t="s">
        <v>49</v>
      </c>
      <c r="H367" t="s">
        <v>18</v>
      </c>
      <c r="I367">
        <v>3</v>
      </c>
      <c r="J367">
        <v>145</v>
      </c>
      <c r="K367" t="s">
        <v>19</v>
      </c>
      <c r="L367" t="s">
        <v>24</v>
      </c>
    </row>
    <row r="368" spans="1:12">
      <c r="A368" t="s">
        <v>410</v>
      </c>
      <c r="B368" s="40">
        <v>46210</v>
      </c>
      <c r="C368" t="s">
        <v>22</v>
      </c>
      <c r="D368" t="s">
        <v>27</v>
      </c>
      <c r="E368" t="s">
        <v>15</v>
      </c>
      <c r="F368" t="s">
        <v>28</v>
      </c>
      <c r="G368" t="s">
        <v>29</v>
      </c>
      <c r="H368" t="s">
        <v>30</v>
      </c>
      <c r="I368">
        <v>27</v>
      </c>
      <c r="J368">
        <v>26</v>
      </c>
      <c r="K368" t="s">
        <v>19</v>
      </c>
      <c r="L368" t="s">
        <v>24</v>
      </c>
    </row>
    <row r="369" spans="1:12">
      <c r="A369" t="s">
        <v>411</v>
      </c>
      <c r="B369" s="40">
        <v>46205</v>
      </c>
      <c r="C369" t="s">
        <v>26</v>
      </c>
      <c r="D369" t="s">
        <v>42</v>
      </c>
      <c r="E369" t="s">
        <v>15</v>
      </c>
      <c r="F369" t="s">
        <v>40</v>
      </c>
      <c r="G369" t="s">
        <v>29</v>
      </c>
      <c r="H369" t="s">
        <v>30</v>
      </c>
      <c r="I369">
        <v>6</v>
      </c>
      <c r="J369">
        <v>26</v>
      </c>
      <c r="K369" t="s">
        <v>20</v>
      </c>
      <c r="L369" t="s">
        <v>24</v>
      </c>
    </row>
    <row r="370" spans="1:12">
      <c r="A370" t="s">
        <v>412</v>
      </c>
      <c r="B370" s="40">
        <v>46226</v>
      </c>
      <c r="C370" t="s">
        <v>52</v>
      </c>
      <c r="D370" t="s">
        <v>53</v>
      </c>
      <c r="E370" t="s">
        <v>48</v>
      </c>
      <c r="F370" t="s">
        <v>28</v>
      </c>
      <c r="G370" t="s">
        <v>35</v>
      </c>
      <c r="H370" t="s">
        <v>30</v>
      </c>
      <c r="I370">
        <v>25</v>
      </c>
      <c r="J370">
        <v>210</v>
      </c>
      <c r="K370" t="s">
        <v>20</v>
      </c>
      <c r="L370" t="s">
        <v>20</v>
      </c>
    </row>
    <row r="371" spans="1:12">
      <c r="A371" t="s">
        <v>413</v>
      </c>
      <c r="B371" s="40">
        <v>46209</v>
      </c>
      <c r="C371" t="s">
        <v>13</v>
      </c>
      <c r="D371" t="s">
        <v>39</v>
      </c>
      <c r="E371" t="s">
        <v>15</v>
      </c>
      <c r="F371" t="s">
        <v>40</v>
      </c>
      <c r="G371" t="s">
        <v>23</v>
      </c>
      <c r="H371" t="s">
        <v>18</v>
      </c>
      <c r="I371">
        <v>49</v>
      </c>
      <c r="J371">
        <v>175</v>
      </c>
      <c r="K371" t="s">
        <v>20</v>
      </c>
      <c r="L371" t="s">
        <v>24</v>
      </c>
    </row>
    <row r="372" spans="1:12">
      <c r="A372" t="s">
        <v>414</v>
      </c>
      <c r="B372" s="40">
        <v>46258</v>
      </c>
      <c r="C372" t="s">
        <v>52</v>
      </c>
      <c r="D372" t="s">
        <v>57</v>
      </c>
      <c r="E372" t="s">
        <v>15</v>
      </c>
      <c r="F372" t="s">
        <v>40</v>
      </c>
      <c r="G372" t="s">
        <v>29</v>
      </c>
      <c r="H372" t="s">
        <v>30</v>
      </c>
      <c r="I372">
        <v>34</v>
      </c>
      <c r="J372">
        <v>26</v>
      </c>
      <c r="K372" t="s">
        <v>19</v>
      </c>
      <c r="L372" t="s">
        <v>24</v>
      </c>
    </row>
    <row r="373" spans="1:12">
      <c r="A373" t="s">
        <v>415</v>
      </c>
      <c r="B373" s="40">
        <v>46214</v>
      </c>
      <c r="C373" t="s">
        <v>22</v>
      </c>
      <c r="D373" t="s">
        <v>53</v>
      </c>
      <c r="E373" t="s">
        <v>48</v>
      </c>
      <c r="F373" t="s">
        <v>28</v>
      </c>
      <c r="G373" t="s">
        <v>45</v>
      </c>
      <c r="H373" t="s">
        <v>18</v>
      </c>
      <c r="I373">
        <v>19</v>
      </c>
      <c r="J373">
        <v>185</v>
      </c>
      <c r="K373" t="s">
        <v>20</v>
      </c>
      <c r="L373" t="s">
        <v>24</v>
      </c>
    </row>
    <row r="374" spans="1:12">
      <c r="A374" t="s">
        <v>416</v>
      </c>
      <c r="B374" s="40">
        <v>46259</v>
      </c>
      <c r="C374" t="s">
        <v>22</v>
      </c>
      <c r="D374" t="s">
        <v>78</v>
      </c>
      <c r="E374" t="s">
        <v>48</v>
      </c>
      <c r="F374" t="s">
        <v>28</v>
      </c>
      <c r="G374" t="s">
        <v>35</v>
      </c>
      <c r="H374" t="s">
        <v>30</v>
      </c>
      <c r="I374">
        <v>6</v>
      </c>
      <c r="J374">
        <v>210</v>
      </c>
      <c r="K374" t="s">
        <v>19</v>
      </c>
      <c r="L374" t="s">
        <v>24</v>
      </c>
    </row>
    <row r="375" spans="1:12">
      <c r="A375" t="s">
        <v>417</v>
      </c>
      <c r="B375" s="40">
        <v>46211</v>
      </c>
      <c r="C375" t="s">
        <v>26</v>
      </c>
      <c r="D375" t="s">
        <v>47</v>
      </c>
      <c r="E375" t="s">
        <v>48</v>
      </c>
      <c r="F375" t="s">
        <v>16</v>
      </c>
      <c r="G375" t="s">
        <v>17</v>
      </c>
      <c r="H375" t="s">
        <v>18</v>
      </c>
      <c r="I375">
        <v>31</v>
      </c>
      <c r="J375">
        <v>260</v>
      </c>
      <c r="K375" t="s">
        <v>19</v>
      </c>
      <c r="L375" t="s">
        <v>24</v>
      </c>
    </row>
    <row r="376" spans="1:12">
      <c r="A376" t="s">
        <v>418</v>
      </c>
      <c r="B376" s="40">
        <v>46293</v>
      </c>
      <c r="C376" t="s">
        <v>13</v>
      </c>
      <c r="D376" t="s">
        <v>32</v>
      </c>
      <c r="E376" t="s">
        <v>33</v>
      </c>
      <c r="F376" t="s">
        <v>16</v>
      </c>
      <c r="G376" t="s">
        <v>17</v>
      </c>
      <c r="H376" t="s">
        <v>18</v>
      </c>
      <c r="I376">
        <v>2</v>
      </c>
      <c r="J376">
        <v>260</v>
      </c>
      <c r="K376" t="s">
        <v>19</v>
      </c>
      <c r="L376" t="s">
        <v>58</v>
      </c>
    </row>
    <row r="377" spans="1:12">
      <c r="A377" t="s">
        <v>419</v>
      </c>
      <c r="B377" s="40">
        <v>46220</v>
      </c>
      <c r="C377" t="s">
        <v>26</v>
      </c>
      <c r="D377" t="s">
        <v>37</v>
      </c>
      <c r="E377" t="s">
        <v>33</v>
      </c>
      <c r="F377" t="s">
        <v>16</v>
      </c>
      <c r="G377" t="s">
        <v>23</v>
      </c>
      <c r="H377" t="s">
        <v>18</v>
      </c>
      <c r="I377">
        <v>18</v>
      </c>
      <c r="J377">
        <v>175</v>
      </c>
      <c r="K377" t="s">
        <v>20</v>
      </c>
      <c r="L377" t="s">
        <v>24</v>
      </c>
    </row>
    <row r="378" spans="1:12">
      <c r="A378" t="s">
        <v>420</v>
      </c>
      <c r="B378" s="40">
        <v>46212</v>
      </c>
      <c r="C378" t="s">
        <v>26</v>
      </c>
      <c r="D378" t="s">
        <v>39</v>
      </c>
      <c r="E378" t="s">
        <v>15</v>
      </c>
      <c r="F378" t="s">
        <v>40</v>
      </c>
      <c r="G378" t="s">
        <v>49</v>
      </c>
      <c r="H378" t="s">
        <v>18</v>
      </c>
      <c r="I378">
        <v>29</v>
      </c>
      <c r="J378">
        <v>145</v>
      </c>
      <c r="K378" t="s">
        <v>19</v>
      </c>
      <c r="L378" t="s">
        <v>24</v>
      </c>
    </row>
    <row r="379" spans="1:12">
      <c r="A379" t="s">
        <v>421</v>
      </c>
      <c r="B379" s="40">
        <v>46211</v>
      </c>
      <c r="C379" t="s">
        <v>52</v>
      </c>
      <c r="D379" t="s">
        <v>14</v>
      </c>
      <c r="E379" t="s">
        <v>15</v>
      </c>
      <c r="F379" t="s">
        <v>16</v>
      </c>
      <c r="G379" t="s">
        <v>35</v>
      </c>
      <c r="H379" t="s">
        <v>30</v>
      </c>
      <c r="I379">
        <v>31</v>
      </c>
      <c r="J379">
        <v>210</v>
      </c>
      <c r="K379" t="s">
        <v>20</v>
      </c>
      <c r="L379" t="s">
        <v>24</v>
      </c>
    </row>
    <row r="380" spans="1:12">
      <c r="A380" t="s">
        <v>422</v>
      </c>
      <c r="B380" s="40">
        <v>46290</v>
      </c>
      <c r="C380" t="s">
        <v>13</v>
      </c>
      <c r="D380" t="s">
        <v>32</v>
      </c>
      <c r="E380" t="s">
        <v>33</v>
      </c>
      <c r="F380" t="s">
        <v>16</v>
      </c>
      <c r="G380" t="s">
        <v>49</v>
      </c>
      <c r="H380" t="s">
        <v>18</v>
      </c>
      <c r="I380">
        <v>8</v>
      </c>
      <c r="J380">
        <v>145</v>
      </c>
      <c r="K380" t="s">
        <v>19</v>
      </c>
      <c r="L380" t="s">
        <v>24</v>
      </c>
    </row>
    <row r="381" spans="1:12">
      <c r="A381" t="s">
        <v>423</v>
      </c>
      <c r="B381" s="40">
        <v>46253</v>
      </c>
      <c r="C381" t="s">
        <v>22</v>
      </c>
      <c r="D381" t="s">
        <v>39</v>
      </c>
      <c r="E381" t="s">
        <v>15</v>
      </c>
      <c r="F381" t="s">
        <v>40</v>
      </c>
      <c r="G381" t="s">
        <v>17</v>
      </c>
      <c r="H381" t="s">
        <v>18</v>
      </c>
      <c r="I381">
        <v>59</v>
      </c>
      <c r="J381">
        <v>260</v>
      </c>
      <c r="K381" t="s">
        <v>19</v>
      </c>
      <c r="L381" t="s">
        <v>58</v>
      </c>
    </row>
    <row r="382" spans="1:12">
      <c r="A382" t="s">
        <v>424</v>
      </c>
      <c r="B382" s="40">
        <v>46235</v>
      </c>
      <c r="C382" t="s">
        <v>52</v>
      </c>
      <c r="D382" t="s">
        <v>39</v>
      </c>
      <c r="E382" t="s">
        <v>15</v>
      </c>
      <c r="F382" t="s">
        <v>40</v>
      </c>
      <c r="G382" t="s">
        <v>23</v>
      </c>
      <c r="H382" t="s">
        <v>18</v>
      </c>
      <c r="I382">
        <v>28</v>
      </c>
      <c r="J382">
        <v>175</v>
      </c>
      <c r="K382" t="s">
        <v>20</v>
      </c>
      <c r="L382" t="s">
        <v>24</v>
      </c>
    </row>
    <row r="383" spans="1:12">
      <c r="A383" t="s">
        <v>425</v>
      </c>
      <c r="B383" s="40">
        <v>46290</v>
      </c>
      <c r="C383" t="s">
        <v>13</v>
      </c>
      <c r="D383" t="s">
        <v>14</v>
      </c>
      <c r="E383" t="s">
        <v>15</v>
      </c>
      <c r="F383" t="s">
        <v>16</v>
      </c>
      <c r="G383" t="s">
        <v>23</v>
      </c>
      <c r="H383" t="s">
        <v>18</v>
      </c>
      <c r="I383">
        <v>25</v>
      </c>
      <c r="J383">
        <v>175</v>
      </c>
      <c r="K383" t="s">
        <v>19</v>
      </c>
      <c r="L383" t="s">
        <v>20</v>
      </c>
    </row>
    <row r="384" spans="1:12">
      <c r="A384" t="s">
        <v>426</v>
      </c>
      <c r="B384" s="40">
        <v>46240</v>
      </c>
      <c r="C384" t="s">
        <v>26</v>
      </c>
      <c r="D384" t="s">
        <v>39</v>
      </c>
      <c r="E384" t="s">
        <v>15</v>
      </c>
      <c r="F384" t="s">
        <v>40</v>
      </c>
      <c r="G384" t="s">
        <v>35</v>
      </c>
      <c r="H384" t="s">
        <v>30</v>
      </c>
      <c r="I384">
        <v>6</v>
      </c>
      <c r="J384">
        <v>210</v>
      </c>
      <c r="K384" t="s">
        <v>19</v>
      </c>
      <c r="L384" t="s">
        <v>24</v>
      </c>
    </row>
    <row r="385" spans="1:12">
      <c r="A385" t="s">
        <v>427</v>
      </c>
      <c r="B385" s="40">
        <v>46242</v>
      </c>
      <c r="C385" t="s">
        <v>22</v>
      </c>
      <c r="D385" t="s">
        <v>39</v>
      </c>
      <c r="E385" t="s">
        <v>15</v>
      </c>
      <c r="F385" t="s">
        <v>40</v>
      </c>
      <c r="G385" t="s">
        <v>49</v>
      </c>
      <c r="H385" t="s">
        <v>18</v>
      </c>
      <c r="I385">
        <v>14</v>
      </c>
      <c r="J385">
        <v>145</v>
      </c>
      <c r="K385" t="s">
        <v>19</v>
      </c>
      <c r="L385" t="s">
        <v>24</v>
      </c>
    </row>
    <row r="386" spans="1:12">
      <c r="A386" t="s">
        <v>428</v>
      </c>
      <c r="B386" s="40">
        <v>46256</v>
      </c>
      <c r="C386" t="s">
        <v>13</v>
      </c>
      <c r="D386" t="s">
        <v>42</v>
      </c>
      <c r="E386" t="s">
        <v>15</v>
      </c>
      <c r="F386" t="s">
        <v>40</v>
      </c>
      <c r="G386" t="s">
        <v>45</v>
      </c>
      <c r="H386" t="s">
        <v>18</v>
      </c>
      <c r="I386">
        <v>17</v>
      </c>
      <c r="J386">
        <v>185</v>
      </c>
      <c r="K386" t="s">
        <v>19</v>
      </c>
      <c r="L386" t="s">
        <v>24</v>
      </c>
    </row>
    <row r="387" spans="1:12">
      <c r="A387" t="s">
        <v>429</v>
      </c>
      <c r="B387" s="40">
        <v>46252</v>
      </c>
      <c r="C387" t="s">
        <v>26</v>
      </c>
      <c r="D387" t="s">
        <v>39</v>
      </c>
      <c r="E387" t="s">
        <v>15</v>
      </c>
      <c r="F387" t="s">
        <v>40</v>
      </c>
      <c r="G387" t="s">
        <v>49</v>
      </c>
      <c r="H387" t="s">
        <v>18</v>
      </c>
      <c r="I387">
        <v>2</v>
      </c>
      <c r="J387">
        <v>145</v>
      </c>
      <c r="K387" t="s">
        <v>19</v>
      </c>
      <c r="L387" t="s">
        <v>24</v>
      </c>
    </row>
    <row r="388" spans="1:12">
      <c r="A388" t="s">
        <v>430</v>
      </c>
      <c r="B388" s="40">
        <v>46222</v>
      </c>
      <c r="C388" t="s">
        <v>26</v>
      </c>
      <c r="D388" t="s">
        <v>27</v>
      </c>
      <c r="E388" t="s">
        <v>15</v>
      </c>
      <c r="F388" t="s">
        <v>28</v>
      </c>
      <c r="G388" t="s">
        <v>35</v>
      </c>
      <c r="H388" t="s">
        <v>30</v>
      </c>
      <c r="I388">
        <v>33</v>
      </c>
      <c r="J388">
        <v>210</v>
      </c>
      <c r="K388" t="s">
        <v>19</v>
      </c>
      <c r="L388" t="s">
        <v>58</v>
      </c>
    </row>
    <row r="389" spans="1:12">
      <c r="A389" t="s">
        <v>431</v>
      </c>
      <c r="B389" s="40">
        <v>46214</v>
      </c>
      <c r="C389" t="s">
        <v>13</v>
      </c>
      <c r="D389" t="s">
        <v>37</v>
      </c>
      <c r="E389" t="s">
        <v>33</v>
      </c>
      <c r="F389" t="s">
        <v>16</v>
      </c>
      <c r="G389" t="s">
        <v>35</v>
      </c>
      <c r="H389" t="s">
        <v>30</v>
      </c>
      <c r="I389">
        <v>25</v>
      </c>
      <c r="J389">
        <v>210</v>
      </c>
      <c r="K389" t="s">
        <v>19</v>
      </c>
      <c r="L389" t="s">
        <v>24</v>
      </c>
    </row>
    <row r="390" spans="1:12">
      <c r="A390" t="s">
        <v>432</v>
      </c>
      <c r="B390" s="40">
        <v>46220</v>
      </c>
      <c r="C390" t="s">
        <v>22</v>
      </c>
      <c r="D390" t="s">
        <v>47</v>
      </c>
      <c r="E390" t="s">
        <v>48</v>
      </c>
      <c r="F390" t="s">
        <v>16</v>
      </c>
      <c r="G390" t="s">
        <v>17</v>
      </c>
      <c r="H390" t="s">
        <v>18</v>
      </c>
      <c r="I390">
        <v>5</v>
      </c>
      <c r="J390">
        <v>260</v>
      </c>
      <c r="K390" t="s">
        <v>19</v>
      </c>
      <c r="L390" t="s">
        <v>20</v>
      </c>
    </row>
    <row r="391" spans="1:12">
      <c r="A391" t="s">
        <v>433</v>
      </c>
      <c r="B391" s="40">
        <v>46238</v>
      </c>
      <c r="C391" t="s">
        <v>22</v>
      </c>
      <c r="D391" t="s">
        <v>47</v>
      </c>
      <c r="E391" t="s">
        <v>48</v>
      </c>
      <c r="F391" t="s">
        <v>16</v>
      </c>
      <c r="G391" t="s">
        <v>29</v>
      </c>
      <c r="H391" t="s">
        <v>30</v>
      </c>
      <c r="I391">
        <v>22</v>
      </c>
      <c r="J391">
        <v>26</v>
      </c>
      <c r="K391" t="s">
        <v>19</v>
      </c>
      <c r="L391" t="s">
        <v>24</v>
      </c>
    </row>
    <row r="392" spans="1:12">
      <c r="A392" t="s">
        <v>434</v>
      </c>
      <c r="B392" s="40">
        <v>46261</v>
      </c>
      <c r="C392" t="s">
        <v>52</v>
      </c>
      <c r="D392" t="s">
        <v>53</v>
      </c>
      <c r="E392" t="s">
        <v>48</v>
      </c>
      <c r="F392" t="s">
        <v>28</v>
      </c>
      <c r="G392" t="s">
        <v>17</v>
      </c>
      <c r="H392" t="s">
        <v>18</v>
      </c>
      <c r="I392">
        <v>11</v>
      </c>
      <c r="J392">
        <v>260</v>
      </c>
      <c r="K392" t="s">
        <v>19</v>
      </c>
      <c r="L392" t="s">
        <v>24</v>
      </c>
    </row>
    <row r="393" spans="1:12">
      <c r="A393" t="s">
        <v>435</v>
      </c>
      <c r="B393" s="40">
        <v>46237</v>
      </c>
      <c r="C393" t="s">
        <v>13</v>
      </c>
      <c r="D393" t="s">
        <v>78</v>
      </c>
      <c r="E393" t="s">
        <v>48</v>
      </c>
      <c r="F393" t="s">
        <v>28</v>
      </c>
      <c r="G393" t="s">
        <v>45</v>
      </c>
      <c r="H393" t="s">
        <v>18</v>
      </c>
      <c r="I393">
        <v>30</v>
      </c>
      <c r="J393">
        <v>185</v>
      </c>
      <c r="K393" t="s">
        <v>19</v>
      </c>
      <c r="L393" t="s">
        <v>20</v>
      </c>
    </row>
    <row r="394" spans="1:12">
      <c r="A394" t="s">
        <v>436</v>
      </c>
      <c r="B394" s="40">
        <v>46245</v>
      </c>
      <c r="C394" t="s">
        <v>22</v>
      </c>
      <c r="D394" t="s">
        <v>57</v>
      </c>
      <c r="E394" t="s">
        <v>15</v>
      </c>
      <c r="F394" t="s">
        <v>40</v>
      </c>
      <c r="G394" t="s">
        <v>29</v>
      </c>
      <c r="H394" t="s">
        <v>30</v>
      </c>
      <c r="I394">
        <v>4</v>
      </c>
      <c r="J394">
        <v>26</v>
      </c>
      <c r="K394" t="s">
        <v>19</v>
      </c>
      <c r="L394" t="s">
        <v>24</v>
      </c>
    </row>
    <row r="395" spans="1:12">
      <c r="A395" t="s">
        <v>437</v>
      </c>
      <c r="B395" s="40">
        <v>46237</v>
      </c>
      <c r="C395" t="s">
        <v>22</v>
      </c>
      <c r="D395" t="s">
        <v>78</v>
      </c>
      <c r="E395" t="s">
        <v>48</v>
      </c>
      <c r="F395" t="s">
        <v>28</v>
      </c>
      <c r="G395" t="s">
        <v>35</v>
      </c>
      <c r="H395" t="s">
        <v>30</v>
      </c>
      <c r="I395">
        <v>55</v>
      </c>
      <c r="J395">
        <v>210</v>
      </c>
      <c r="K395" t="s">
        <v>19</v>
      </c>
      <c r="L395" t="s">
        <v>24</v>
      </c>
    </row>
    <row r="396" spans="1:12">
      <c r="A396" t="s">
        <v>438</v>
      </c>
      <c r="B396" s="40">
        <v>46217</v>
      </c>
      <c r="C396" t="s">
        <v>22</v>
      </c>
      <c r="D396" t="s">
        <v>42</v>
      </c>
      <c r="E396" t="s">
        <v>15</v>
      </c>
      <c r="F396" t="s">
        <v>40</v>
      </c>
      <c r="G396" t="s">
        <v>23</v>
      </c>
      <c r="H396" t="s">
        <v>18</v>
      </c>
      <c r="I396">
        <v>17</v>
      </c>
      <c r="J396">
        <v>175</v>
      </c>
      <c r="K396" t="s">
        <v>19</v>
      </c>
      <c r="L396" t="s">
        <v>24</v>
      </c>
    </row>
    <row r="397" spans="1:12">
      <c r="A397" t="s">
        <v>439</v>
      </c>
      <c r="B397" s="40">
        <v>46251</v>
      </c>
      <c r="C397" t="s">
        <v>13</v>
      </c>
      <c r="D397" t="s">
        <v>27</v>
      </c>
      <c r="E397" t="s">
        <v>15</v>
      </c>
      <c r="F397" t="s">
        <v>28</v>
      </c>
      <c r="G397" t="s">
        <v>45</v>
      </c>
      <c r="H397" t="s">
        <v>18</v>
      </c>
      <c r="I397">
        <v>14</v>
      </c>
      <c r="J397">
        <v>185</v>
      </c>
      <c r="K397" t="s">
        <v>19</v>
      </c>
      <c r="L397" t="s">
        <v>24</v>
      </c>
    </row>
    <row r="398" spans="1:12">
      <c r="A398" t="s">
        <v>440</v>
      </c>
      <c r="B398" s="40">
        <v>46286</v>
      </c>
      <c r="C398" t="s">
        <v>52</v>
      </c>
      <c r="D398" t="s">
        <v>14</v>
      </c>
      <c r="E398" t="s">
        <v>15</v>
      </c>
      <c r="F398" t="s">
        <v>16</v>
      </c>
      <c r="G398" t="s">
        <v>17</v>
      </c>
      <c r="H398" t="s">
        <v>18</v>
      </c>
      <c r="I398">
        <v>6</v>
      </c>
      <c r="J398">
        <v>260</v>
      </c>
      <c r="K398" t="s">
        <v>20</v>
      </c>
      <c r="L398" t="s">
        <v>24</v>
      </c>
    </row>
    <row r="399" spans="1:12">
      <c r="A399" t="s">
        <v>441</v>
      </c>
      <c r="B399" s="40">
        <v>46210</v>
      </c>
      <c r="C399" t="s">
        <v>22</v>
      </c>
      <c r="D399" t="s">
        <v>78</v>
      </c>
      <c r="E399" t="s">
        <v>48</v>
      </c>
      <c r="F399" t="s">
        <v>28</v>
      </c>
      <c r="G399" t="s">
        <v>17</v>
      </c>
      <c r="H399" t="s">
        <v>18</v>
      </c>
      <c r="I399">
        <v>4</v>
      </c>
      <c r="J399">
        <v>260</v>
      </c>
      <c r="K399" t="s">
        <v>20</v>
      </c>
      <c r="L399" t="s">
        <v>24</v>
      </c>
    </row>
    <row r="400" spans="1:12">
      <c r="A400" t="s">
        <v>442</v>
      </c>
      <c r="B400" s="40">
        <v>46258</v>
      </c>
      <c r="C400" t="s">
        <v>22</v>
      </c>
      <c r="D400" t="s">
        <v>47</v>
      </c>
      <c r="E400" t="s">
        <v>48</v>
      </c>
      <c r="F400" t="s">
        <v>16</v>
      </c>
      <c r="G400" t="s">
        <v>35</v>
      </c>
      <c r="H400" t="s">
        <v>30</v>
      </c>
      <c r="I400">
        <v>3</v>
      </c>
      <c r="J400">
        <v>210</v>
      </c>
      <c r="K400" t="s">
        <v>19</v>
      </c>
      <c r="L400" t="s">
        <v>58</v>
      </c>
    </row>
    <row r="401" spans="1:12">
      <c r="A401" t="s">
        <v>443</v>
      </c>
      <c r="B401" s="40">
        <v>46208</v>
      </c>
      <c r="C401" t="s">
        <v>22</v>
      </c>
      <c r="D401" t="s">
        <v>57</v>
      </c>
      <c r="E401" t="s">
        <v>15</v>
      </c>
      <c r="F401" t="s">
        <v>40</v>
      </c>
      <c r="G401" t="s">
        <v>49</v>
      </c>
      <c r="H401" t="s">
        <v>18</v>
      </c>
      <c r="I401">
        <v>30</v>
      </c>
      <c r="J401">
        <v>145</v>
      </c>
      <c r="K401" t="s">
        <v>19</v>
      </c>
      <c r="L401" t="s">
        <v>24</v>
      </c>
    </row>
    <row r="402" spans="1:12">
      <c r="A402" t="s">
        <v>444</v>
      </c>
      <c r="B402" s="40">
        <v>46253</v>
      </c>
      <c r="C402" t="s">
        <v>22</v>
      </c>
      <c r="D402" t="s">
        <v>37</v>
      </c>
      <c r="E402" t="s">
        <v>33</v>
      </c>
      <c r="F402" t="s">
        <v>16</v>
      </c>
      <c r="G402" t="s">
        <v>35</v>
      </c>
      <c r="H402" t="s">
        <v>30</v>
      </c>
      <c r="I402">
        <v>5</v>
      </c>
      <c r="J402">
        <v>210</v>
      </c>
      <c r="K402" t="s">
        <v>19</v>
      </c>
      <c r="L402" t="s">
        <v>24</v>
      </c>
    </row>
    <row r="403" spans="1:12">
      <c r="A403" t="s">
        <v>445</v>
      </c>
      <c r="B403" s="40">
        <v>46295</v>
      </c>
      <c r="C403" t="s">
        <v>26</v>
      </c>
      <c r="D403" t="s">
        <v>37</v>
      </c>
      <c r="E403" t="s">
        <v>33</v>
      </c>
      <c r="F403" t="s">
        <v>16</v>
      </c>
      <c r="G403" t="s">
        <v>45</v>
      </c>
      <c r="H403" t="s">
        <v>18</v>
      </c>
      <c r="I403">
        <v>3</v>
      </c>
      <c r="J403">
        <v>185</v>
      </c>
      <c r="K403" t="s">
        <v>19</v>
      </c>
      <c r="L403" t="s">
        <v>20</v>
      </c>
    </row>
    <row r="404" spans="1:12">
      <c r="A404" t="s">
        <v>446</v>
      </c>
      <c r="B404" s="40">
        <v>46238</v>
      </c>
      <c r="C404" t="s">
        <v>22</v>
      </c>
      <c r="D404" t="s">
        <v>78</v>
      </c>
      <c r="E404" t="s">
        <v>48</v>
      </c>
      <c r="F404" t="s">
        <v>28</v>
      </c>
      <c r="G404" t="s">
        <v>23</v>
      </c>
      <c r="H404" t="s">
        <v>18</v>
      </c>
      <c r="I404">
        <v>34</v>
      </c>
      <c r="J404">
        <v>175</v>
      </c>
      <c r="K404" t="s">
        <v>19</v>
      </c>
      <c r="L404" t="s">
        <v>24</v>
      </c>
    </row>
    <row r="405" spans="1:12">
      <c r="A405" t="s">
        <v>447</v>
      </c>
      <c r="B405" s="40">
        <v>46264</v>
      </c>
      <c r="C405" t="s">
        <v>26</v>
      </c>
      <c r="D405" t="s">
        <v>39</v>
      </c>
      <c r="E405" t="s">
        <v>15</v>
      </c>
      <c r="F405" t="s">
        <v>40</v>
      </c>
      <c r="G405" t="s">
        <v>49</v>
      </c>
      <c r="H405" t="s">
        <v>18</v>
      </c>
      <c r="I405">
        <v>5</v>
      </c>
      <c r="J405">
        <v>145</v>
      </c>
      <c r="K405" t="s">
        <v>20</v>
      </c>
      <c r="L405" t="s">
        <v>58</v>
      </c>
    </row>
    <row r="406" spans="1:12">
      <c r="A406" t="s">
        <v>448</v>
      </c>
      <c r="B406" s="40">
        <v>46238</v>
      </c>
      <c r="C406" t="s">
        <v>13</v>
      </c>
      <c r="D406" t="s">
        <v>32</v>
      </c>
      <c r="E406" t="s">
        <v>33</v>
      </c>
      <c r="F406" t="s">
        <v>16</v>
      </c>
      <c r="G406" t="s">
        <v>17</v>
      </c>
      <c r="H406" t="s">
        <v>18</v>
      </c>
      <c r="I406">
        <v>17</v>
      </c>
      <c r="J406">
        <v>260</v>
      </c>
      <c r="K406" t="s">
        <v>20</v>
      </c>
      <c r="L406" t="s">
        <v>58</v>
      </c>
    </row>
    <row r="407" spans="1:12">
      <c r="A407" t="s">
        <v>449</v>
      </c>
      <c r="B407" s="40">
        <v>46226</v>
      </c>
      <c r="C407" t="s">
        <v>22</v>
      </c>
      <c r="D407" t="s">
        <v>53</v>
      </c>
      <c r="E407" t="s">
        <v>48</v>
      </c>
      <c r="F407" t="s">
        <v>28</v>
      </c>
      <c r="G407" t="s">
        <v>35</v>
      </c>
      <c r="H407" t="s">
        <v>30</v>
      </c>
      <c r="I407">
        <v>24</v>
      </c>
      <c r="J407">
        <v>210</v>
      </c>
      <c r="K407" t="s">
        <v>19</v>
      </c>
      <c r="L407" t="s">
        <v>24</v>
      </c>
    </row>
    <row r="408" spans="1:12">
      <c r="A408" t="s">
        <v>450</v>
      </c>
      <c r="B408" s="40">
        <v>46249</v>
      </c>
      <c r="C408" t="s">
        <v>22</v>
      </c>
      <c r="D408" t="s">
        <v>78</v>
      </c>
      <c r="E408" t="s">
        <v>48</v>
      </c>
      <c r="F408" t="s">
        <v>28</v>
      </c>
      <c r="G408" t="s">
        <v>23</v>
      </c>
      <c r="H408" t="s">
        <v>18</v>
      </c>
      <c r="I408">
        <v>3</v>
      </c>
      <c r="J408">
        <v>175</v>
      </c>
      <c r="K408" t="s">
        <v>19</v>
      </c>
      <c r="L408" t="s">
        <v>24</v>
      </c>
    </row>
    <row r="409" spans="1:12">
      <c r="A409" t="s">
        <v>451</v>
      </c>
      <c r="B409" s="40">
        <v>46208</v>
      </c>
      <c r="C409" t="s">
        <v>13</v>
      </c>
      <c r="D409" t="s">
        <v>42</v>
      </c>
      <c r="E409" t="s">
        <v>15</v>
      </c>
      <c r="F409" t="s">
        <v>40</v>
      </c>
      <c r="G409" t="s">
        <v>23</v>
      </c>
      <c r="H409" t="s">
        <v>18</v>
      </c>
      <c r="I409">
        <v>21</v>
      </c>
      <c r="J409">
        <v>175</v>
      </c>
      <c r="K409" t="s">
        <v>19</v>
      </c>
      <c r="L409" t="s">
        <v>24</v>
      </c>
    </row>
    <row r="410" spans="1:12">
      <c r="A410" t="s">
        <v>452</v>
      </c>
      <c r="B410" s="40">
        <v>46229</v>
      </c>
      <c r="C410" t="s">
        <v>22</v>
      </c>
      <c r="D410" t="s">
        <v>39</v>
      </c>
      <c r="E410" t="s">
        <v>15</v>
      </c>
      <c r="F410" t="s">
        <v>40</v>
      </c>
      <c r="G410" t="s">
        <v>23</v>
      </c>
      <c r="H410" t="s">
        <v>18</v>
      </c>
      <c r="I410">
        <v>75</v>
      </c>
      <c r="J410">
        <v>175</v>
      </c>
      <c r="K410" t="s">
        <v>19</v>
      </c>
      <c r="L410" t="s">
        <v>24</v>
      </c>
    </row>
    <row r="411" spans="1:12">
      <c r="A411" t="s">
        <v>453</v>
      </c>
      <c r="B411" s="40">
        <v>46294</v>
      </c>
      <c r="C411" t="s">
        <v>22</v>
      </c>
      <c r="D411" t="s">
        <v>78</v>
      </c>
      <c r="E411" t="s">
        <v>48</v>
      </c>
      <c r="F411" t="s">
        <v>28</v>
      </c>
      <c r="G411" t="s">
        <v>17</v>
      </c>
      <c r="H411" t="s">
        <v>18</v>
      </c>
      <c r="I411">
        <v>3</v>
      </c>
      <c r="J411">
        <v>260</v>
      </c>
      <c r="K411" t="s">
        <v>20</v>
      </c>
      <c r="L411" t="s">
        <v>20</v>
      </c>
    </row>
    <row r="412" spans="1:12">
      <c r="A412" t="s">
        <v>454</v>
      </c>
      <c r="B412" s="40">
        <v>46288</v>
      </c>
      <c r="C412" t="s">
        <v>52</v>
      </c>
      <c r="D412" t="s">
        <v>78</v>
      </c>
      <c r="E412" t="s">
        <v>48</v>
      </c>
      <c r="F412" t="s">
        <v>28</v>
      </c>
      <c r="G412" t="s">
        <v>17</v>
      </c>
      <c r="H412" t="s">
        <v>18</v>
      </c>
      <c r="I412">
        <v>25</v>
      </c>
      <c r="J412">
        <v>260</v>
      </c>
      <c r="K412" t="s">
        <v>19</v>
      </c>
      <c r="L412" t="s">
        <v>24</v>
      </c>
    </row>
    <row r="413" spans="1:12">
      <c r="A413" t="s">
        <v>455</v>
      </c>
      <c r="B413" s="40">
        <v>46259</v>
      </c>
      <c r="C413" t="s">
        <v>52</v>
      </c>
      <c r="D413" t="s">
        <v>78</v>
      </c>
      <c r="E413" t="s">
        <v>48</v>
      </c>
      <c r="F413" t="s">
        <v>28</v>
      </c>
      <c r="G413" t="s">
        <v>45</v>
      </c>
      <c r="H413" t="s">
        <v>18</v>
      </c>
      <c r="I413">
        <v>12</v>
      </c>
      <c r="J413">
        <v>185</v>
      </c>
      <c r="K413" t="s">
        <v>19</v>
      </c>
      <c r="L413" t="s">
        <v>24</v>
      </c>
    </row>
    <row r="414" spans="1:12">
      <c r="A414" t="s">
        <v>456</v>
      </c>
      <c r="B414" s="40">
        <v>46279</v>
      </c>
      <c r="C414" t="s">
        <v>22</v>
      </c>
      <c r="D414" t="s">
        <v>37</v>
      </c>
      <c r="E414" t="s">
        <v>33</v>
      </c>
      <c r="F414" t="s">
        <v>16</v>
      </c>
      <c r="G414" t="s">
        <v>29</v>
      </c>
      <c r="H414" t="s">
        <v>30</v>
      </c>
      <c r="I414">
        <v>24</v>
      </c>
      <c r="J414">
        <v>26</v>
      </c>
      <c r="K414" t="s">
        <v>19</v>
      </c>
      <c r="L414" t="s">
        <v>20</v>
      </c>
    </row>
    <row r="415" spans="1:12">
      <c r="A415" t="s">
        <v>457</v>
      </c>
      <c r="B415" s="40">
        <v>46293</v>
      </c>
      <c r="C415" t="s">
        <v>52</v>
      </c>
      <c r="D415" t="s">
        <v>57</v>
      </c>
      <c r="E415" t="s">
        <v>15</v>
      </c>
      <c r="F415" t="s">
        <v>40</v>
      </c>
      <c r="G415" t="s">
        <v>45</v>
      </c>
      <c r="H415" t="s">
        <v>18</v>
      </c>
      <c r="I415">
        <v>13</v>
      </c>
      <c r="J415">
        <v>185</v>
      </c>
      <c r="K415" t="s">
        <v>20</v>
      </c>
      <c r="L415" t="s">
        <v>20</v>
      </c>
    </row>
    <row r="416" spans="1:12">
      <c r="A416" t="s">
        <v>458</v>
      </c>
      <c r="B416" s="40">
        <v>46282</v>
      </c>
      <c r="C416" t="s">
        <v>22</v>
      </c>
      <c r="D416" t="s">
        <v>53</v>
      </c>
      <c r="E416" t="s">
        <v>48</v>
      </c>
      <c r="F416" t="s">
        <v>28</v>
      </c>
      <c r="G416" t="s">
        <v>17</v>
      </c>
      <c r="H416" t="s">
        <v>18</v>
      </c>
      <c r="I416">
        <v>13</v>
      </c>
      <c r="J416">
        <v>260</v>
      </c>
      <c r="K416" t="s">
        <v>19</v>
      </c>
      <c r="L416" t="s">
        <v>24</v>
      </c>
    </row>
    <row r="417" spans="1:12">
      <c r="A417" t="s">
        <v>459</v>
      </c>
      <c r="B417" s="40">
        <v>46234</v>
      </c>
      <c r="C417" t="s">
        <v>26</v>
      </c>
      <c r="D417" t="s">
        <v>42</v>
      </c>
      <c r="E417" t="s">
        <v>15</v>
      </c>
      <c r="F417" t="s">
        <v>40</v>
      </c>
      <c r="G417" t="s">
        <v>45</v>
      </c>
      <c r="H417" t="s">
        <v>18</v>
      </c>
      <c r="I417">
        <v>23</v>
      </c>
      <c r="J417">
        <v>185</v>
      </c>
      <c r="K417" t="s">
        <v>20</v>
      </c>
      <c r="L417" t="s">
        <v>24</v>
      </c>
    </row>
    <row r="418" spans="1:12">
      <c r="A418" t="s">
        <v>460</v>
      </c>
      <c r="B418" s="40">
        <v>46237</v>
      </c>
      <c r="C418" t="s">
        <v>22</v>
      </c>
      <c r="D418" t="s">
        <v>14</v>
      </c>
      <c r="E418" t="s">
        <v>15</v>
      </c>
      <c r="F418" t="s">
        <v>16</v>
      </c>
      <c r="G418" t="s">
        <v>29</v>
      </c>
      <c r="H418" t="s">
        <v>30</v>
      </c>
      <c r="I418">
        <v>23</v>
      </c>
      <c r="J418">
        <v>26</v>
      </c>
      <c r="K418" t="s">
        <v>19</v>
      </c>
      <c r="L418" t="s">
        <v>24</v>
      </c>
    </row>
    <row r="419" spans="1:12">
      <c r="A419" t="s">
        <v>461</v>
      </c>
      <c r="B419" s="40">
        <v>46257</v>
      </c>
      <c r="C419" t="s">
        <v>22</v>
      </c>
      <c r="D419" t="s">
        <v>57</v>
      </c>
      <c r="E419" t="s">
        <v>15</v>
      </c>
      <c r="F419" t="s">
        <v>40</v>
      </c>
      <c r="G419" t="s">
        <v>17</v>
      </c>
      <c r="H419" t="s">
        <v>18</v>
      </c>
      <c r="I419">
        <v>64</v>
      </c>
      <c r="J419">
        <v>260</v>
      </c>
      <c r="K419" t="s">
        <v>20</v>
      </c>
      <c r="L419" t="s">
        <v>24</v>
      </c>
    </row>
    <row r="420" spans="1:12">
      <c r="A420" t="s">
        <v>462</v>
      </c>
      <c r="B420" s="40">
        <v>46265</v>
      </c>
      <c r="C420" t="s">
        <v>22</v>
      </c>
      <c r="D420" t="s">
        <v>47</v>
      </c>
      <c r="E420" t="s">
        <v>48</v>
      </c>
      <c r="F420" t="s">
        <v>16</v>
      </c>
      <c r="G420" t="s">
        <v>49</v>
      </c>
      <c r="H420" t="s">
        <v>18</v>
      </c>
      <c r="I420">
        <v>26</v>
      </c>
      <c r="J420">
        <v>145</v>
      </c>
      <c r="K420" t="s">
        <v>19</v>
      </c>
      <c r="L420" t="s">
        <v>24</v>
      </c>
    </row>
    <row r="421" spans="1:12">
      <c r="A421" t="s">
        <v>463</v>
      </c>
      <c r="B421" s="40">
        <v>46217</v>
      </c>
      <c r="C421" t="s">
        <v>13</v>
      </c>
      <c r="D421" t="s">
        <v>39</v>
      </c>
      <c r="E421" t="s">
        <v>15</v>
      </c>
      <c r="F421" t="s">
        <v>40</v>
      </c>
      <c r="G421" t="s">
        <v>49</v>
      </c>
      <c r="H421" t="s">
        <v>18</v>
      </c>
      <c r="I421">
        <v>3</v>
      </c>
      <c r="J421">
        <v>145</v>
      </c>
      <c r="K421" t="s">
        <v>19</v>
      </c>
      <c r="L421" t="s">
        <v>20</v>
      </c>
    </row>
    <row r="422" spans="1:12">
      <c r="A422" t="s">
        <v>464</v>
      </c>
      <c r="B422" s="40">
        <v>46215</v>
      </c>
      <c r="C422" t="s">
        <v>26</v>
      </c>
      <c r="D422" t="s">
        <v>32</v>
      </c>
      <c r="E422" t="s">
        <v>33</v>
      </c>
      <c r="F422" t="s">
        <v>16</v>
      </c>
      <c r="G422" t="s">
        <v>29</v>
      </c>
      <c r="H422" t="s">
        <v>30</v>
      </c>
      <c r="I422">
        <v>6</v>
      </c>
      <c r="J422">
        <v>26</v>
      </c>
      <c r="K422" t="s">
        <v>19</v>
      </c>
      <c r="L422" t="s">
        <v>24</v>
      </c>
    </row>
    <row r="423" spans="1:12">
      <c r="A423" t="s">
        <v>465</v>
      </c>
      <c r="B423" s="40">
        <v>46287</v>
      </c>
      <c r="C423" t="s">
        <v>22</v>
      </c>
      <c r="D423" t="s">
        <v>42</v>
      </c>
      <c r="E423" t="s">
        <v>15</v>
      </c>
      <c r="F423" t="s">
        <v>40</v>
      </c>
      <c r="G423" t="s">
        <v>29</v>
      </c>
      <c r="H423" t="s">
        <v>30</v>
      </c>
      <c r="I423">
        <v>3</v>
      </c>
      <c r="J423">
        <v>26</v>
      </c>
      <c r="K423" t="s">
        <v>19</v>
      </c>
      <c r="L423" t="s">
        <v>24</v>
      </c>
    </row>
    <row r="424" spans="1:12">
      <c r="A424" t="s">
        <v>466</v>
      </c>
      <c r="B424" s="40">
        <v>46228</v>
      </c>
      <c r="C424" t="s">
        <v>52</v>
      </c>
      <c r="D424" t="s">
        <v>39</v>
      </c>
      <c r="E424" t="s">
        <v>15</v>
      </c>
      <c r="F424" t="s">
        <v>40</v>
      </c>
      <c r="G424" t="s">
        <v>17</v>
      </c>
      <c r="H424" t="s">
        <v>18</v>
      </c>
      <c r="I424">
        <v>23</v>
      </c>
      <c r="J424">
        <v>260</v>
      </c>
      <c r="K424" t="s">
        <v>19</v>
      </c>
      <c r="L424" t="s">
        <v>20</v>
      </c>
    </row>
    <row r="425" spans="1:12">
      <c r="A425" t="s">
        <v>467</v>
      </c>
      <c r="B425" s="40">
        <v>46216</v>
      </c>
      <c r="C425" t="s">
        <v>13</v>
      </c>
      <c r="D425" t="s">
        <v>37</v>
      </c>
      <c r="E425" t="s">
        <v>33</v>
      </c>
      <c r="F425" t="s">
        <v>16</v>
      </c>
      <c r="G425" t="s">
        <v>49</v>
      </c>
      <c r="H425" t="s">
        <v>18</v>
      </c>
      <c r="I425">
        <v>20</v>
      </c>
      <c r="J425">
        <v>145</v>
      </c>
      <c r="K425" t="s">
        <v>19</v>
      </c>
      <c r="L425" t="s">
        <v>24</v>
      </c>
    </row>
    <row r="426" spans="1:12">
      <c r="A426" t="s">
        <v>468</v>
      </c>
      <c r="B426" s="40">
        <v>46258</v>
      </c>
      <c r="C426" t="s">
        <v>13</v>
      </c>
      <c r="D426" t="s">
        <v>42</v>
      </c>
      <c r="E426" t="s">
        <v>15</v>
      </c>
      <c r="F426" t="s">
        <v>40</v>
      </c>
      <c r="G426" t="s">
        <v>45</v>
      </c>
      <c r="H426" t="s">
        <v>18</v>
      </c>
      <c r="I426">
        <v>5</v>
      </c>
      <c r="J426">
        <v>185</v>
      </c>
      <c r="K426" t="s">
        <v>19</v>
      </c>
      <c r="L426" t="s">
        <v>24</v>
      </c>
    </row>
    <row r="427" spans="1:12">
      <c r="A427" t="s">
        <v>469</v>
      </c>
      <c r="B427" s="40">
        <v>46230</v>
      </c>
      <c r="C427" t="s">
        <v>22</v>
      </c>
      <c r="D427" t="s">
        <v>53</v>
      </c>
      <c r="E427" t="s">
        <v>48</v>
      </c>
      <c r="F427" t="s">
        <v>28</v>
      </c>
      <c r="G427" t="s">
        <v>35</v>
      </c>
      <c r="H427" t="s">
        <v>30</v>
      </c>
      <c r="I427">
        <v>14</v>
      </c>
      <c r="J427">
        <v>210</v>
      </c>
      <c r="K427" t="s">
        <v>19</v>
      </c>
      <c r="L427" t="s">
        <v>58</v>
      </c>
    </row>
    <row r="428" spans="1:12">
      <c r="A428" t="s">
        <v>470</v>
      </c>
      <c r="B428" s="40">
        <v>46264</v>
      </c>
      <c r="C428" t="s">
        <v>52</v>
      </c>
      <c r="D428" t="s">
        <v>42</v>
      </c>
      <c r="E428" t="s">
        <v>15</v>
      </c>
      <c r="F428" t="s">
        <v>40</v>
      </c>
      <c r="G428" t="s">
        <v>17</v>
      </c>
      <c r="H428" t="s">
        <v>18</v>
      </c>
      <c r="I428">
        <v>21</v>
      </c>
      <c r="J428">
        <v>260</v>
      </c>
      <c r="K428" t="s">
        <v>20</v>
      </c>
      <c r="L428" t="s">
        <v>24</v>
      </c>
    </row>
    <row r="429" spans="1:12">
      <c r="A429" t="s">
        <v>471</v>
      </c>
      <c r="B429" s="40">
        <v>46252</v>
      </c>
      <c r="C429" t="s">
        <v>26</v>
      </c>
      <c r="D429" t="s">
        <v>37</v>
      </c>
      <c r="E429" t="s">
        <v>33</v>
      </c>
      <c r="F429" t="s">
        <v>16</v>
      </c>
      <c r="G429" t="s">
        <v>35</v>
      </c>
      <c r="H429" t="s">
        <v>30</v>
      </c>
      <c r="I429">
        <v>13</v>
      </c>
      <c r="J429">
        <v>210</v>
      </c>
      <c r="K429" t="s">
        <v>19</v>
      </c>
      <c r="L429" t="s">
        <v>24</v>
      </c>
    </row>
    <row r="430" spans="1:12">
      <c r="A430" t="s">
        <v>472</v>
      </c>
      <c r="B430" s="40">
        <v>46238</v>
      </c>
      <c r="C430" t="s">
        <v>13</v>
      </c>
      <c r="D430" t="s">
        <v>42</v>
      </c>
      <c r="E430" t="s">
        <v>15</v>
      </c>
      <c r="F430" t="s">
        <v>40</v>
      </c>
      <c r="G430" t="s">
        <v>35</v>
      </c>
      <c r="H430" t="s">
        <v>30</v>
      </c>
      <c r="I430">
        <v>18</v>
      </c>
      <c r="J430">
        <v>210</v>
      </c>
      <c r="K430" t="s">
        <v>19</v>
      </c>
      <c r="L430" t="s">
        <v>20</v>
      </c>
    </row>
    <row r="431" spans="1:12">
      <c r="A431" t="s">
        <v>473</v>
      </c>
      <c r="B431" s="40">
        <v>46256</v>
      </c>
      <c r="C431" t="s">
        <v>22</v>
      </c>
      <c r="D431" t="s">
        <v>14</v>
      </c>
      <c r="E431" t="s">
        <v>15</v>
      </c>
      <c r="F431" t="s">
        <v>16</v>
      </c>
      <c r="G431" t="s">
        <v>17</v>
      </c>
      <c r="H431" t="s">
        <v>18</v>
      </c>
      <c r="I431">
        <v>24</v>
      </c>
      <c r="J431">
        <v>260</v>
      </c>
      <c r="K431" t="s">
        <v>19</v>
      </c>
      <c r="L431" t="s">
        <v>20</v>
      </c>
    </row>
    <row r="432" spans="1:12">
      <c r="A432" t="s">
        <v>474</v>
      </c>
      <c r="B432" s="40">
        <v>46234</v>
      </c>
      <c r="C432" t="s">
        <v>52</v>
      </c>
      <c r="D432" t="s">
        <v>37</v>
      </c>
      <c r="E432" t="s">
        <v>33</v>
      </c>
      <c r="F432" t="s">
        <v>16</v>
      </c>
      <c r="G432" t="s">
        <v>35</v>
      </c>
      <c r="H432" t="s">
        <v>30</v>
      </c>
      <c r="I432">
        <v>32</v>
      </c>
      <c r="J432">
        <v>210</v>
      </c>
      <c r="K432" t="s">
        <v>19</v>
      </c>
      <c r="L432" t="s">
        <v>24</v>
      </c>
    </row>
    <row r="433" spans="1:12">
      <c r="A433" t="s">
        <v>475</v>
      </c>
      <c r="B433" s="40">
        <v>46290</v>
      </c>
      <c r="C433" t="s">
        <v>22</v>
      </c>
      <c r="D433" t="s">
        <v>39</v>
      </c>
      <c r="E433" t="s">
        <v>15</v>
      </c>
      <c r="F433" t="s">
        <v>40</v>
      </c>
      <c r="G433" t="s">
        <v>23</v>
      </c>
      <c r="H433" t="s">
        <v>18</v>
      </c>
      <c r="I433">
        <v>35</v>
      </c>
      <c r="J433">
        <v>175</v>
      </c>
      <c r="K433" t="s">
        <v>19</v>
      </c>
      <c r="L433" t="s">
        <v>20</v>
      </c>
    </row>
    <row r="434" spans="1:12">
      <c r="A434" t="s">
        <v>476</v>
      </c>
      <c r="B434" s="40">
        <v>46220</v>
      </c>
      <c r="C434" t="s">
        <v>13</v>
      </c>
      <c r="D434" t="s">
        <v>32</v>
      </c>
      <c r="E434" t="s">
        <v>33</v>
      </c>
      <c r="F434" t="s">
        <v>16</v>
      </c>
      <c r="G434" t="s">
        <v>45</v>
      </c>
      <c r="H434" t="s">
        <v>18</v>
      </c>
      <c r="I434">
        <v>15</v>
      </c>
      <c r="J434">
        <v>185</v>
      </c>
      <c r="K434" t="s">
        <v>19</v>
      </c>
      <c r="L434" t="s">
        <v>58</v>
      </c>
    </row>
    <row r="435" spans="1:12">
      <c r="A435" t="s">
        <v>477</v>
      </c>
      <c r="B435" s="40">
        <v>46237</v>
      </c>
      <c r="C435" t="s">
        <v>26</v>
      </c>
      <c r="D435" t="s">
        <v>47</v>
      </c>
      <c r="E435" t="s">
        <v>48</v>
      </c>
      <c r="F435" t="s">
        <v>16</v>
      </c>
      <c r="G435" t="s">
        <v>45</v>
      </c>
      <c r="H435" t="s">
        <v>18</v>
      </c>
      <c r="I435">
        <v>11</v>
      </c>
      <c r="J435">
        <v>185</v>
      </c>
      <c r="K435" t="s">
        <v>20</v>
      </c>
      <c r="L435" t="s">
        <v>58</v>
      </c>
    </row>
    <row r="436" spans="1:12">
      <c r="A436" t="s">
        <v>478</v>
      </c>
      <c r="B436" s="40">
        <v>46274</v>
      </c>
      <c r="C436" t="s">
        <v>26</v>
      </c>
      <c r="D436" t="s">
        <v>14</v>
      </c>
      <c r="E436" t="s">
        <v>15</v>
      </c>
      <c r="F436" t="s">
        <v>16</v>
      </c>
      <c r="G436" t="s">
        <v>17</v>
      </c>
      <c r="H436" t="s">
        <v>18</v>
      </c>
      <c r="I436">
        <v>26</v>
      </c>
      <c r="J436">
        <v>260</v>
      </c>
      <c r="K436" t="s">
        <v>20</v>
      </c>
      <c r="L436" t="s">
        <v>24</v>
      </c>
    </row>
    <row r="437" spans="1:12">
      <c r="A437" t="s">
        <v>479</v>
      </c>
      <c r="B437" s="40">
        <v>46218</v>
      </c>
      <c r="C437" t="s">
        <v>52</v>
      </c>
      <c r="D437" t="s">
        <v>39</v>
      </c>
      <c r="E437" t="s">
        <v>15</v>
      </c>
      <c r="F437" t="s">
        <v>40</v>
      </c>
      <c r="G437" t="s">
        <v>29</v>
      </c>
      <c r="H437" t="s">
        <v>30</v>
      </c>
      <c r="I437">
        <v>35</v>
      </c>
      <c r="J437">
        <v>26</v>
      </c>
      <c r="K437" t="s">
        <v>19</v>
      </c>
      <c r="L437" t="s">
        <v>24</v>
      </c>
    </row>
    <row r="438" spans="1:12">
      <c r="A438" t="s">
        <v>480</v>
      </c>
      <c r="B438" s="40">
        <v>46216</v>
      </c>
      <c r="C438" t="s">
        <v>26</v>
      </c>
      <c r="D438" t="s">
        <v>53</v>
      </c>
      <c r="E438" t="s">
        <v>48</v>
      </c>
      <c r="F438" t="s">
        <v>28</v>
      </c>
      <c r="G438" t="s">
        <v>17</v>
      </c>
      <c r="H438" t="s">
        <v>18</v>
      </c>
      <c r="I438">
        <v>8</v>
      </c>
      <c r="J438">
        <v>260</v>
      </c>
      <c r="K438" t="s">
        <v>20</v>
      </c>
      <c r="L438" t="s">
        <v>20</v>
      </c>
    </row>
    <row r="439" spans="1:12">
      <c r="A439" t="s">
        <v>481</v>
      </c>
      <c r="B439" s="40">
        <v>46277</v>
      </c>
      <c r="C439" t="s">
        <v>52</v>
      </c>
      <c r="D439" t="s">
        <v>47</v>
      </c>
      <c r="E439" t="s">
        <v>48</v>
      </c>
      <c r="F439" t="s">
        <v>16</v>
      </c>
      <c r="G439" t="s">
        <v>49</v>
      </c>
      <c r="H439" t="s">
        <v>18</v>
      </c>
      <c r="I439">
        <v>26</v>
      </c>
      <c r="J439">
        <v>145</v>
      </c>
      <c r="K439" t="s">
        <v>19</v>
      </c>
      <c r="L439" t="s">
        <v>24</v>
      </c>
    </row>
    <row r="440" spans="1:12">
      <c r="A440" t="s">
        <v>482</v>
      </c>
      <c r="B440" s="40">
        <v>46292</v>
      </c>
      <c r="C440" t="s">
        <v>22</v>
      </c>
      <c r="D440" t="s">
        <v>32</v>
      </c>
      <c r="E440" t="s">
        <v>33</v>
      </c>
      <c r="F440" t="s">
        <v>16</v>
      </c>
      <c r="G440" t="s">
        <v>23</v>
      </c>
      <c r="H440" t="s">
        <v>18</v>
      </c>
      <c r="I440">
        <v>57</v>
      </c>
      <c r="J440">
        <v>175</v>
      </c>
      <c r="K440" t="s">
        <v>19</v>
      </c>
      <c r="L440" t="s">
        <v>24</v>
      </c>
    </row>
    <row r="441" spans="1:12">
      <c r="A441" t="s">
        <v>483</v>
      </c>
      <c r="B441" s="40">
        <v>46242</v>
      </c>
      <c r="C441" t="s">
        <v>26</v>
      </c>
      <c r="D441" t="s">
        <v>57</v>
      </c>
      <c r="E441" t="s">
        <v>15</v>
      </c>
      <c r="F441" t="s">
        <v>40</v>
      </c>
      <c r="G441" t="s">
        <v>49</v>
      </c>
      <c r="H441" t="s">
        <v>18</v>
      </c>
      <c r="I441">
        <v>3</v>
      </c>
      <c r="J441">
        <v>145</v>
      </c>
      <c r="K441" t="s">
        <v>19</v>
      </c>
      <c r="L441" t="s">
        <v>24</v>
      </c>
    </row>
    <row r="442" spans="1:12">
      <c r="A442" t="s">
        <v>484</v>
      </c>
      <c r="B442" s="40">
        <v>46260</v>
      </c>
      <c r="C442" t="s">
        <v>26</v>
      </c>
      <c r="D442" t="s">
        <v>14</v>
      </c>
      <c r="E442" t="s">
        <v>15</v>
      </c>
      <c r="F442" t="s">
        <v>16</v>
      </c>
      <c r="G442" t="s">
        <v>45</v>
      </c>
      <c r="H442" t="s">
        <v>18</v>
      </c>
      <c r="I442">
        <v>10</v>
      </c>
      <c r="J442">
        <v>185</v>
      </c>
      <c r="K442" t="s">
        <v>19</v>
      </c>
      <c r="L442" t="s">
        <v>24</v>
      </c>
    </row>
    <row r="443" spans="1:12">
      <c r="A443" t="s">
        <v>485</v>
      </c>
      <c r="B443" s="40">
        <v>46256</v>
      </c>
      <c r="C443" t="s">
        <v>52</v>
      </c>
      <c r="D443" t="s">
        <v>14</v>
      </c>
      <c r="E443" t="s">
        <v>15</v>
      </c>
      <c r="F443" t="s">
        <v>16</v>
      </c>
      <c r="G443" t="s">
        <v>45</v>
      </c>
      <c r="H443" t="s">
        <v>18</v>
      </c>
      <c r="I443">
        <v>30</v>
      </c>
      <c r="J443">
        <v>185</v>
      </c>
      <c r="K443" t="s">
        <v>20</v>
      </c>
      <c r="L443" t="s">
        <v>20</v>
      </c>
    </row>
    <row r="444" spans="1:12">
      <c r="A444" t="s">
        <v>486</v>
      </c>
      <c r="B444" s="40">
        <v>46255</v>
      </c>
      <c r="C444" t="s">
        <v>22</v>
      </c>
      <c r="D444" t="s">
        <v>39</v>
      </c>
      <c r="E444" t="s">
        <v>15</v>
      </c>
      <c r="F444" t="s">
        <v>40</v>
      </c>
      <c r="G444" t="s">
        <v>23</v>
      </c>
      <c r="H444" t="s">
        <v>18</v>
      </c>
      <c r="I444">
        <v>68</v>
      </c>
      <c r="J444">
        <v>175</v>
      </c>
      <c r="K444" t="s">
        <v>20</v>
      </c>
      <c r="L444" t="s">
        <v>24</v>
      </c>
    </row>
    <row r="445" spans="1:12">
      <c r="A445" t="s">
        <v>487</v>
      </c>
      <c r="B445" s="40">
        <v>46229</v>
      </c>
      <c r="C445" t="s">
        <v>13</v>
      </c>
      <c r="D445" t="s">
        <v>53</v>
      </c>
      <c r="E445" t="s">
        <v>48</v>
      </c>
      <c r="F445" t="s">
        <v>28</v>
      </c>
      <c r="G445" t="s">
        <v>17</v>
      </c>
      <c r="H445" t="s">
        <v>18</v>
      </c>
      <c r="I445">
        <v>13</v>
      </c>
      <c r="J445">
        <v>260</v>
      </c>
      <c r="K445" t="s">
        <v>19</v>
      </c>
      <c r="L445" t="s">
        <v>24</v>
      </c>
    </row>
    <row r="446" spans="1:12">
      <c r="A446" t="s">
        <v>488</v>
      </c>
      <c r="B446" s="40">
        <v>46263</v>
      </c>
      <c r="C446" t="s">
        <v>52</v>
      </c>
      <c r="D446" t="s">
        <v>78</v>
      </c>
      <c r="E446" t="s">
        <v>48</v>
      </c>
      <c r="F446" t="s">
        <v>28</v>
      </c>
      <c r="G446" t="s">
        <v>29</v>
      </c>
      <c r="H446" t="s">
        <v>30</v>
      </c>
      <c r="I446">
        <v>14</v>
      </c>
      <c r="J446">
        <v>26</v>
      </c>
      <c r="K446" t="s">
        <v>19</v>
      </c>
      <c r="L446" t="s">
        <v>24</v>
      </c>
    </row>
    <row r="447" spans="1:12">
      <c r="A447" t="s">
        <v>489</v>
      </c>
      <c r="B447" s="40">
        <v>46261</v>
      </c>
      <c r="C447" t="s">
        <v>22</v>
      </c>
      <c r="D447" t="s">
        <v>39</v>
      </c>
      <c r="E447" t="s">
        <v>15</v>
      </c>
      <c r="F447" t="s">
        <v>40</v>
      </c>
      <c r="G447" t="s">
        <v>45</v>
      </c>
      <c r="H447" t="s">
        <v>18</v>
      </c>
      <c r="I447">
        <v>25</v>
      </c>
      <c r="J447">
        <v>185</v>
      </c>
      <c r="K447" t="s">
        <v>20</v>
      </c>
      <c r="L447" t="s">
        <v>24</v>
      </c>
    </row>
    <row r="448" spans="1:12">
      <c r="A448" t="s">
        <v>490</v>
      </c>
      <c r="B448" s="40">
        <v>46237</v>
      </c>
      <c r="C448" t="s">
        <v>13</v>
      </c>
      <c r="D448" t="s">
        <v>37</v>
      </c>
      <c r="E448" t="s">
        <v>33</v>
      </c>
      <c r="F448" t="s">
        <v>16</v>
      </c>
      <c r="G448" t="s">
        <v>49</v>
      </c>
      <c r="H448" t="s">
        <v>18</v>
      </c>
      <c r="I448">
        <v>24</v>
      </c>
      <c r="J448">
        <v>145</v>
      </c>
      <c r="K448" t="s">
        <v>19</v>
      </c>
      <c r="L448" t="s">
        <v>24</v>
      </c>
    </row>
    <row r="449" spans="1:12">
      <c r="A449" t="s">
        <v>491</v>
      </c>
      <c r="B449" s="40">
        <v>46286</v>
      </c>
      <c r="C449" t="s">
        <v>22</v>
      </c>
      <c r="D449" t="s">
        <v>32</v>
      </c>
      <c r="E449" t="s">
        <v>33</v>
      </c>
      <c r="F449" t="s">
        <v>16</v>
      </c>
      <c r="G449" t="s">
        <v>23</v>
      </c>
      <c r="H449" t="s">
        <v>18</v>
      </c>
      <c r="I449">
        <v>15</v>
      </c>
      <c r="J449">
        <v>175</v>
      </c>
      <c r="K449" t="s">
        <v>19</v>
      </c>
      <c r="L449" t="s">
        <v>24</v>
      </c>
    </row>
    <row r="450" spans="1:12">
      <c r="A450" t="s">
        <v>492</v>
      </c>
      <c r="B450" s="40">
        <v>46291</v>
      </c>
      <c r="C450" t="s">
        <v>13</v>
      </c>
      <c r="D450" t="s">
        <v>47</v>
      </c>
      <c r="E450" t="s">
        <v>48</v>
      </c>
      <c r="F450" t="s">
        <v>16</v>
      </c>
      <c r="G450" t="s">
        <v>23</v>
      </c>
      <c r="H450" t="s">
        <v>18</v>
      </c>
      <c r="I450">
        <v>3</v>
      </c>
      <c r="J450">
        <v>175</v>
      </c>
      <c r="K450" t="s">
        <v>19</v>
      </c>
      <c r="L450" t="s">
        <v>24</v>
      </c>
    </row>
    <row r="451" spans="1:12">
      <c r="A451" t="s">
        <v>493</v>
      </c>
      <c r="B451" s="40">
        <v>46281</v>
      </c>
      <c r="C451" t="s">
        <v>26</v>
      </c>
      <c r="D451" t="s">
        <v>32</v>
      </c>
      <c r="E451" t="s">
        <v>33</v>
      </c>
      <c r="F451" t="s">
        <v>16</v>
      </c>
      <c r="G451" t="s">
        <v>23</v>
      </c>
      <c r="H451" t="s">
        <v>18</v>
      </c>
      <c r="I451">
        <v>2</v>
      </c>
      <c r="J451">
        <v>175</v>
      </c>
      <c r="K451" t="s">
        <v>19</v>
      </c>
      <c r="L451" t="s">
        <v>20</v>
      </c>
    </row>
    <row r="452" spans="1:12">
      <c r="A452" t="s">
        <v>494</v>
      </c>
      <c r="B452" s="40">
        <v>46262</v>
      </c>
      <c r="C452" t="s">
        <v>26</v>
      </c>
      <c r="D452" t="s">
        <v>57</v>
      </c>
      <c r="E452" t="s">
        <v>15</v>
      </c>
      <c r="F452" t="s">
        <v>40</v>
      </c>
      <c r="G452" t="s">
        <v>35</v>
      </c>
      <c r="H452" t="s">
        <v>30</v>
      </c>
      <c r="I452">
        <v>26</v>
      </c>
      <c r="J452">
        <v>210</v>
      </c>
      <c r="K452" t="s">
        <v>19</v>
      </c>
      <c r="L452" t="s">
        <v>24</v>
      </c>
    </row>
    <row r="453" spans="1:12">
      <c r="A453" t="s">
        <v>495</v>
      </c>
      <c r="B453" s="40">
        <v>46204</v>
      </c>
      <c r="C453" t="s">
        <v>26</v>
      </c>
      <c r="D453" t="s">
        <v>37</v>
      </c>
      <c r="E453" t="s">
        <v>33</v>
      </c>
      <c r="F453" t="s">
        <v>16</v>
      </c>
      <c r="G453" t="s">
        <v>23</v>
      </c>
      <c r="H453" t="s">
        <v>18</v>
      </c>
      <c r="I453">
        <v>27</v>
      </c>
      <c r="J453">
        <v>175</v>
      </c>
      <c r="K453" t="s">
        <v>19</v>
      </c>
      <c r="L453" t="s">
        <v>24</v>
      </c>
    </row>
    <row r="454" spans="1:12">
      <c r="A454" t="s">
        <v>496</v>
      </c>
      <c r="B454" s="40">
        <v>46247</v>
      </c>
      <c r="C454" t="s">
        <v>26</v>
      </c>
      <c r="D454" t="s">
        <v>57</v>
      </c>
      <c r="E454" t="s">
        <v>15</v>
      </c>
      <c r="F454" t="s">
        <v>40</v>
      </c>
      <c r="G454" t="s">
        <v>49</v>
      </c>
      <c r="H454" t="s">
        <v>18</v>
      </c>
      <c r="I454">
        <v>8</v>
      </c>
      <c r="J454">
        <v>145</v>
      </c>
      <c r="K454" t="s">
        <v>19</v>
      </c>
      <c r="L454" t="s">
        <v>20</v>
      </c>
    </row>
    <row r="455" spans="1:12">
      <c r="A455" t="s">
        <v>497</v>
      </c>
      <c r="B455" s="40">
        <v>46270</v>
      </c>
      <c r="C455" t="s">
        <v>22</v>
      </c>
      <c r="D455" t="s">
        <v>57</v>
      </c>
      <c r="E455" t="s">
        <v>15</v>
      </c>
      <c r="F455" t="s">
        <v>40</v>
      </c>
      <c r="G455" t="s">
        <v>29</v>
      </c>
      <c r="H455" t="s">
        <v>30</v>
      </c>
      <c r="I455">
        <v>21</v>
      </c>
      <c r="J455">
        <v>26</v>
      </c>
      <c r="K455" t="s">
        <v>20</v>
      </c>
      <c r="L455" t="s">
        <v>20</v>
      </c>
    </row>
    <row r="456" spans="1:12">
      <c r="A456" t="s">
        <v>498</v>
      </c>
      <c r="B456" s="40">
        <v>46207</v>
      </c>
      <c r="C456" t="s">
        <v>52</v>
      </c>
      <c r="D456" t="s">
        <v>53</v>
      </c>
      <c r="E456" t="s">
        <v>48</v>
      </c>
      <c r="F456" t="s">
        <v>28</v>
      </c>
      <c r="G456" t="s">
        <v>35</v>
      </c>
      <c r="H456" t="s">
        <v>30</v>
      </c>
      <c r="I456">
        <v>22</v>
      </c>
      <c r="J456">
        <v>210</v>
      </c>
      <c r="K456" t="s">
        <v>20</v>
      </c>
      <c r="L456" t="s">
        <v>24</v>
      </c>
    </row>
    <row r="457" spans="1:12">
      <c r="A457" t="s">
        <v>499</v>
      </c>
      <c r="B457" s="40">
        <v>46278</v>
      </c>
      <c r="C457" t="s">
        <v>22</v>
      </c>
      <c r="D457" t="s">
        <v>47</v>
      </c>
      <c r="E457" t="s">
        <v>48</v>
      </c>
      <c r="F457" t="s">
        <v>16</v>
      </c>
      <c r="G457" t="s">
        <v>35</v>
      </c>
      <c r="H457" t="s">
        <v>30</v>
      </c>
      <c r="I457">
        <v>26</v>
      </c>
      <c r="J457">
        <v>210</v>
      </c>
      <c r="K457" t="s">
        <v>19</v>
      </c>
      <c r="L457" t="s">
        <v>20</v>
      </c>
    </row>
    <row r="458" spans="1:12">
      <c r="A458" t="s">
        <v>500</v>
      </c>
      <c r="B458" s="40">
        <v>46289</v>
      </c>
      <c r="C458" t="s">
        <v>26</v>
      </c>
      <c r="D458" t="s">
        <v>37</v>
      </c>
      <c r="E458" t="s">
        <v>33</v>
      </c>
      <c r="F458" t="s">
        <v>16</v>
      </c>
      <c r="G458" t="s">
        <v>29</v>
      </c>
      <c r="H458" t="s">
        <v>30</v>
      </c>
      <c r="I458">
        <v>32</v>
      </c>
      <c r="J458">
        <v>26</v>
      </c>
      <c r="K458" t="s">
        <v>19</v>
      </c>
      <c r="L458" t="s">
        <v>20</v>
      </c>
    </row>
    <row r="459" spans="1:12">
      <c r="A459" t="s">
        <v>501</v>
      </c>
      <c r="B459" s="40">
        <v>46220</v>
      </c>
      <c r="C459" t="s">
        <v>26</v>
      </c>
      <c r="D459" t="s">
        <v>37</v>
      </c>
      <c r="E459" t="s">
        <v>33</v>
      </c>
      <c r="F459" t="s">
        <v>16</v>
      </c>
      <c r="G459" t="s">
        <v>45</v>
      </c>
      <c r="H459" t="s">
        <v>18</v>
      </c>
      <c r="I459">
        <v>20</v>
      </c>
      <c r="J459">
        <v>185</v>
      </c>
      <c r="K459" t="s">
        <v>20</v>
      </c>
      <c r="L459" t="s">
        <v>24</v>
      </c>
    </row>
    <row r="460" spans="1:12">
      <c r="A460" t="s">
        <v>502</v>
      </c>
      <c r="B460" s="40">
        <v>46232</v>
      </c>
      <c r="C460" t="s">
        <v>26</v>
      </c>
      <c r="D460" t="s">
        <v>32</v>
      </c>
      <c r="E460" t="s">
        <v>33</v>
      </c>
      <c r="F460" t="s">
        <v>16</v>
      </c>
      <c r="G460" t="s">
        <v>29</v>
      </c>
      <c r="H460" t="s">
        <v>30</v>
      </c>
      <c r="I460">
        <v>23</v>
      </c>
      <c r="J460">
        <v>26</v>
      </c>
      <c r="K460" t="s">
        <v>19</v>
      </c>
      <c r="L460" t="s">
        <v>20</v>
      </c>
    </row>
    <row r="461" spans="1:12">
      <c r="A461" t="s">
        <v>503</v>
      </c>
      <c r="B461" s="40">
        <v>46241</v>
      </c>
      <c r="C461" t="s">
        <v>52</v>
      </c>
      <c r="D461" t="s">
        <v>47</v>
      </c>
      <c r="E461" t="s">
        <v>48</v>
      </c>
      <c r="F461" t="s">
        <v>16</v>
      </c>
      <c r="G461" t="s">
        <v>49</v>
      </c>
      <c r="H461" t="s">
        <v>18</v>
      </c>
      <c r="I461">
        <v>25</v>
      </c>
      <c r="J461">
        <v>145</v>
      </c>
      <c r="K461" t="s">
        <v>20</v>
      </c>
      <c r="L461" t="s">
        <v>24</v>
      </c>
    </row>
    <row r="462" spans="1:12">
      <c r="A462" t="s">
        <v>504</v>
      </c>
      <c r="B462" s="40">
        <v>46228</v>
      </c>
      <c r="C462" t="s">
        <v>13</v>
      </c>
      <c r="D462" t="s">
        <v>53</v>
      </c>
      <c r="E462" t="s">
        <v>48</v>
      </c>
      <c r="F462" t="s">
        <v>28</v>
      </c>
      <c r="G462" t="s">
        <v>23</v>
      </c>
      <c r="H462" t="s">
        <v>18</v>
      </c>
      <c r="I462">
        <v>6</v>
      </c>
      <c r="J462">
        <v>175</v>
      </c>
      <c r="K462" t="s">
        <v>20</v>
      </c>
      <c r="L462" t="s">
        <v>24</v>
      </c>
    </row>
    <row r="463" spans="1:12">
      <c r="A463" t="s">
        <v>505</v>
      </c>
      <c r="B463" s="40">
        <v>46223</v>
      </c>
      <c r="C463" t="s">
        <v>22</v>
      </c>
      <c r="D463" t="s">
        <v>57</v>
      </c>
      <c r="E463" t="s">
        <v>15</v>
      </c>
      <c r="F463" t="s">
        <v>40</v>
      </c>
      <c r="G463" t="s">
        <v>35</v>
      </c>
      <c r="H463" t="s">
        <v>30</v>
      </c>
      <c r="I463">
        <v>5</v>
      </c>
      <c r="J463">
        <v>210</v>
      </c>
      <c r="K463" t="s">
        <v>20</v>
      </c>
      <c r="L463" t="s">
        <v>24</v>
      </c>
    </row>
    <row r="464" spans="1:12">
      <c r="A464" t="s">
        <v>506</v>
      </c>
      <c r="B464" s="40">
        <v>46295</v>
      </c>
      <c r="C464" t="s">
        <v>22</v>
      </c>
      <c r="D464" t="s">
        <v>53</v>
      </c>
      <c r="E464" t="s">
        <v>48</v>
      </c>
      <c r="F464" t="s">
        <v>28</v>
      </c>
      <c r="G464" t="s">
        <v>35</v>
      </c>
      <c r="H464" t="s">
        <v>30</v>
      </c>
      <c r="I464">
        <v>11</v>
      </c>
      <c r="J464">
        <v>210</v>
      </c>
      <c r="K464" t="s">
        <v>20</v>
      </c>
      <c r="L464" t="s">
        <v>24</v>
      </c>
    </row>
    <row r="465" spans="1:12">
      <c r="A465" t="s">
        <v>507</v>
      </c>
      <c r="B465" s="40">
        <v>46230</v>
      </c>
      <c r="C465" t="s">
        <v>22</v>
      </c>
      <c r="D465" t="s">
        <v>32</v>
      </c>
      <c r="E465" t="s">
        <v>33</v>
      </c>
      <c r="F465" t="s">
        <v>16</v>
      </c>
      <c r="G465" t="s">
        <v>49</v>
      </c>
      <c r="H465" t="s">
        <v>18</v>
      </c>
      <c r="I465">
        <v>53</v>
      </c>
      <c r="J465">
        <v>145</v>
      </c>
      <c r="K465" t="s">
        <v>19</v>
      </c>
      <c r="L465" t="s">
        <v>24</v>
      </c>
    </row>
    <row r="466" spans="1:12">
      <c r="A466" t="s">
        <v>508</v>
      </c>
      <c r="B466" s="40">
        <v>46255</v>
      </c>
      <c r="C466" t="s">
        <v>52</v>
      </c>
      <c r="D466" t="s">
        <v>14</v>
      </c>
      <c r="E466" t="s">
        <v>15</v>
      </c>
      <c r="F466" t="s">
        <v>16</v>
      </c>
      <c r="G466" t="s">
        <v>45</v>
      </c>
      <c r="H466" t="s">
        <v>18</v>
      </c>
      <c r="I466">
        <v>29</v>
      </c>
      <c r="J466">
        <v>185</v>
      </c>
      <c r="K466" t="s">
        <v>20</v>
      </c>
      <c r="L466" t="s">
        <v>24</v>
      </c>
    </row>
    <row r="467" spans="1:12">
      <c r="A467" t="s">
        <v>509</v>
      </c>
      <c r="B467" s="40">
        <v>46205</v>
      </c>
      <c r="C467" t="s">
        <v>26</v>
      </c>
      <c r="D467" t="s">
        <v>39</v>
      </c>
      <c r="E467" t="s">
        <v>15</v>
      </c>
      <c r="F467" t="s">
        <v>40</v>
      </c>
      <c r="G467" t="s">
        <v>23</v>
      </c>
      <c r="H467" t="s">
        <v>18</v>
      </c>
      <c r="I467">
        <v>14</v>
      </c>
      <c r="J467">
        <v>175</v>
      </c>
      <c r="K467" t="s">
        <v>20</v>
      </c>
      <c r="L467" t="s">
        <v>24</v>
      </c>
    </row>
    <row r="468" spans="1:12">
      <c r="A468" t="s">
        <v>510</v>
      </c>
      <c r="B468" s="40">
        <v>46235</v>
      </c>
      <c r="C468" t="s">
        <v>22</v>
      </c>
      <c r="D468" t="s">
        <v>39</v>
      </c>
      <c r="E468" t="s">
        <v>15</v>
      </c>
      <c r="F468" t="s">
        <v>40</v>
      </c>
      <c r="G468" t="s">
        <v>29</v>
      </c>
      <c r="H468" t="s">
        <v>30</v>
      </c>
      <c r="I468">
        <v>2</v>
      </c>
      <c r="J468">
        <v>26</v>
      </c>
      <c r="K468" t="s">
        <v>19</v>
      </c>
      <c r="L468" t="s">
        <v>24</v>
      </c>
    </row>
    <row r="469" spans="1:12">
      <c r="A469" t="s">
        <v>511</v>
      </c>
      <c r="B469" s="40">
        <v>46243</v>
      </c>
      <c r="C469" t="s">
        <v>22</v>
      </c>
      <c r="D469" t="s">
        <v>32</v>
      </c>
      <c r="E469" t="s">
        <v>33</v>
      </c>
      <c r="F469" t="s">
        <v>16</v>
      </c>
      <c r="G469" t="s">
        <v>17</v>
      </c>
      <c r="H469" t="s">
        <v>18</v>
      </c>
      <c r="I469">
        <v>26</v>
      </c>
      <c r="J469">
        <v>260</v>
      </c>
      <c r="K469" t="s">
        <v>19</v>
      </c>
      <c r="L469" t="s">
        <v>24</v>
      </c>
    </row>
    <row r="470" spans="1:12">
      <c r="A470" t="s">
        <v>512</v>
      </c>
      <c r="B470" s="40">
        <v>46247</v>
      </c>
      <c r="C470" t="s">
        <v>52</v>
      </c>
      <c r="D470" t="s">
        <v>57</v>
      </c>
      <c r="E470" t="s">
        <v>15</v>
      </c>
      <c r="F470" t="s">
        <v>40</v>
      </c>
      <c r="G470" t="s">
        <v>35</v>
      </c>
      <c r="H470" t="s">
        <v>30</v>
      </c>
      <c r="I470">
        <v>35</v>
      </c>
      <c r="J470">
        <v>210</v>
      </c>
      <c r="K470" t="s">
        <v>20</v>
      </c>
      <c r="L470" t="s">
        <v>58</v>
      </c>
    </row>
    <row r="471" spans="1:12">
      <c r="A471" t="s">
        <v>513</v>
      </c>
      <c r="B471" s="40">
        <v>46225</v>
      </c>
      <c r="C471" t="s">
        <v>52</v>
      </c>
      <c r="D471" t="s">
        <v>78</v>
      </c>
      <c r="E471" t="s">
        <v>48</v>
      </c>
      <c r="F471" t="s">
        <v>28</v>
      </c>
      <c r="G471" t="s">
        <v>35</v>
      </c>
      <c r="H471" t="s">
        <v>30</v>
      </c>
      <c r="I471">
        <v>24</v>
      </c>
      <c r="J471">
        <v>210</v>
      </c>
      <c r="K471" t="s">
        <v>19</v>
      </c>
      <c r="L471" t="s">
        <v>24</v>
      </c>
    </row>
    <row r="472" spans="1:12">
      <c r="A472" t="s">
        <v>514</v>
      </c>
      <c r="B472" s="40">
        <v>46225</v>
      </c>
      <c r="C472" t="s">
        <v>13</v>
      </c>
      <c r="D472" t="s">
        <v>32</v>
      </c>
      <c r="E472" t="s">
        <v>33</v>
      </c>
      <c r="F472" t="s">
        <v>16</v>
      </c>
      <c r="G472" t="s">
        <v>45</v>
      </c>
      <c r="H472" t="s">
        <v>18</v>
      </c>
      <c r="I472">
        <v>3</v>
      </c>
      <c r="J472">
        <v>185</v>
      </c>
      <c r="K472" t="s">
        <v>19</v>
      </c>
      <c r="L472" t="s">
        <v>24</v>
      </c>
    </row>
    <row r="473" spans="1:12">
      <c r="A473" t="s">
        <v>515</v>
      </c>
      <c r="B473" s="40">
        <v>46283</v>
      </c>
      <c r="C473" t="s">
        <v>13</v>
      </c>
      <c r="D473" t="s">
        <v>39</v>
      </c>
      <c r="E473" t="s">
        <v>15</v>
      </c>
      <c r="F473" t="s">
        <v>40</v>
      </c>
      <c r="G473" t="s">
        <v>35</v>
      </c>
      <c r="H473" t="s">
        <v>30</v>
      </c>
      <c r="I473">
        <v>18</v>
      </c>
      <c r="J473">
        <v>210</v>
      </c>
      <c r="K473" t="s">
        <v>19</v>
      </c>
      <c r="L473" t="s">
        <v>24</v>
      </c>
    </row>
    <row r="474" spans="1:12">
      <c r="A474" t="s">
        <v>516</v>
      </c>
      <c r="B474" s="40">
        <v>46257</v>
      </c>
      <c r="C474" t="s">
        <v>52</v>
      </c>
      <c r="D474" t="s">
        <v>14</v>
      </c>
      <c r="E474" t="s">
        <v>15</v>
      </c>
      <c r="F474" t="s">
        <v>16</v>
      </c>
      <c r="G474" t="s">
        <v>29</v>
      </c>
      <c r="H474" t="s">
        <v>30</v>
      </c>
      <c r="I474">
        <v>43</v>
      </c>
      <c r="J474">
        <v>26</v>
      </c>
      <c r="K474" t="s">
        <v>19</v>
      </c>
      <c r="L474" t="s">
        <v>24</v>
      </c>
    </row>
    <row r="475" spans="1:12">
      <c r="A475" t="s">
        <v>517</v>
      </c>
      <c r="B475" s="40">
        <v>46291</v>
      </c>
      <c r="C475" t="s">
        <v>13</v>
      </c>
      <c r="D475" t="s">
        <v>42</v>
      </c>
      <c r="E475" t="s">
        <v>15</v>
      </c>
      <c r="F475" t="s">
        <v>40</v>
      </c>
      <c r="G475" t="s">
        <v>29</v>
      </c>
      <c r="H475" t="s">
        <v>30</v>
      </c>
      <c r="I475">
        <v>11</v>
      </c>
      <c r="J475">
        <v>26</v>
      </c>
      <c r="K475" t="s">
        <v>19</v>
      </c>
      <c r="L475" t="s">
        <v>24</v>
      </c>
    </row>
    <row r="476" spans="1:12">
      <c r="A476" t="s">
        <v>518</v>
      </c>
      <c r="B476" s="40">
        <v>46217</v>
      </c>
      <c r="C476" t="s">
        <v>13</v>
      </c>
      <c r="D476" t="s">
        <v>37</v>
      </c>
      <c r="E476" t="s">
        <v>33</v>
      </c>
      <c r="F476" t="s">
        <v>16</v>
      </c>
      <c r="G476" t="s">
        <v>49</v>
      </c>
      <c r="H476" t="s">
        <v>18</v>
      </c>
      <c r="I476">
        <v>10</v>
      </c>
      <c r="J476">
        <v>145</v>
      </c>
      <c r="K476" t="s">
        <v>19</v>
      </c>
      <c r="L476" t="s">
        <v>20</v>
      </c>
    </row>
    <row r="477" spans="1:12">
      <c r="A477" t="s">
        <v>519</v>
      </c>
      <c r="B477" s="40">
        <v>46270</v>
      </c>
      <c r="C477" t="s">
        <v>22</v>
      </c>
      <c r="D477" t="s">
        <v>42</v>
      </c>
      <c r="E477" t="s">
        <v>15</v>
      </c>
      <c r="F477" t="s">
        <v>40</v>
      </c>
      <c r="G477" t="s">
        <v>45</v>
      </c>
      <c r="H477" t="s">
        <v>18</v>
      </c>
      <c r="I477">
        <v>14</v>
      </c>
      <c r="J477">
        <v>185</v>
      </c>
      <c r="K477" t="s">
        <v>19</v>
      </c>
      <c r="L477" t="s">
        <v>24</v>
      </c>
    </row>
    <row r="478" spans="1:12">
      <c r="A478" t="s">
        <v>520</v>
      </c>
      <c r="B478" s="40">
        <v>46292</v>
      </c>
      <c r="C478" t="s">
        <v>52</v>
      </c>
      <c r="D478" t="s">
        <v>32</v>
      </c>
      <c r="E478" t="s">
        <v>33</v>
      </c>
      <c r="F478" t="s">
        <v>16</v>
      </c>
      <c r="G478" t="s">
        <v>17</v>
      </c>
      <c r="H478" t="s">
        <v>18</v>
      </c>
      <c r="I478">
        <v>33</v>
      </c>
      <c r="J478">
        <v>260</v>
      </c>
      <c r="K478" t="s">
        <v>19</v>
      </c>
      <c r="L478" t="s">
        <v>24</v>
      </c>
    </row>
    <row r="479" spans="1:12">
      <c r="A479" t="s">
        <v>521</v>
      </c>
      <c r="B479" s="40">
        <v>46215</v>
      </c>
      <c r="C479" t="s">
        <v>13</v>
      </c>
      <c r="D479" t="s">
        <v>14</v>
      </c>
      <c r="E479" t="s">
        <v>15</v>
      </c>
      <c r="F479" t="s">
        <v>16</v>
      </c>
      <c r="G479" t="s">
        <v>17</v>
      </c>
      <c r="H479" t="s">
        <v>18</v>
      </c>
      <c r="I479">
        <v>33</v>
      </c>
      <c r="J479">
        <v>260</v>
      </c>
      <c r="K479" t="s">
        <v>20</v>
      </c>
      <c r="L479" t="s">
        <v>24</v>
      </c>
    </row>
    <row r="480" spans="1:12">
      <c r="A480" t="s">
        <v>522</v>
      </c>
      <c r="B480" s="40">
        <v>46241</v>
      </c>
      <c r="C480" t="s">
        <v>26</v>
      </c>
      <c r="D480" t="s">
        <v>57</v>
      </c>
      <c r="E480" t="s">
        <v>15</v>
      </c>
      <c r="F480" t="s">
        <v>40</v>
      </c>
      <c r="G480" t="s">
        <v>29</v>
      </c>
      <c r="H480" t="s">
        <v>30</v>
      </c>
      <c r="I480">
        <v>16</v>
      </c>
      <c r="J480">
        <v>26</v>
      </c>
      <c r="K480" t="s">
        <v>19</v>
      </c>
      <c r="L480" t="s">
        <v>24</v>
      </c>
    </row>
    <row r="481" spans="1:12">
      <c r="A481" t="s">
        <v>523</v>
      </c>
      <c r="B481" s="40">
        <v>46290</v>
      </c>
      <c r="C481" t="s">
        <v>26</v>
      </c>
      <c r="D481" t="s">
        <v>32</v>
      </c>
      <c r="E481" t="s">
        <v>33</v>
      </c>
      <c r="F481" t="s">
        <v>16</v>
      </c>
      <c r="G481" t="s">
        <v>17</v>
      </c>
      <c r="H481" t="s">
        <v>18</v>
      </c>
      <c r="I481">
        <v>20</v>
      </c>
      <c r="J481">
        <v>260</v>
      </c>
      <c r="K481" t="s">
        <v>19</v>
      </c>
      <c r="L481" t="s">
        <v>24</v>
      </c>
    </row>
    <row r="482" spans="1:12">
      <c r="A482" t="s">
        <v>524</v>
      </c>
      <c r="B482" s="40">
        <v>46225</v>
      </c>
      <c r="C482" t="s">
        <v>26</v>
      </c>
      <c r="D482" t="s">
        <v>39</v>
      </c>
      <c r="E482" t="s">
        <v>15</v>
      </c>
      <c r="F482" t="s">
        <v>40</v>
      </c>
      <c r="G482" t="s">
        <v>17</v>
      </c>
      <c r="H482" t="s">
        <v>18</v>
      </c>
      <c r="I482">
        <v>10</v>
      </c>
      <c r="J482">
        <v>260</v>
      </c>
      <c r="K482" t="s">
        <v>19</v>
      </c>
      <c r="L482" t="s">
        <v>24</v>
      </c>
    </row>
    <row r="483" spans="1:12">
      <c r="A483" t="s">
        <v>525</v>
      </c>
      <c r="B483" s="40">
        <v>46247</v>
      </c>
      <c r="C483" t="s">
        <v>22</v>
      </c>
      <c r="D483" t="s">
        <v>53</v>
      </c>
      <c r="E483" t="s">
        <v>48</v>
      </c>
      <c r="F483" t="s">
        <v>28</v>
      </c>
      <c r="G483" t="s">
        <v>49</v>
      </c>
      <c r="H483" t="s">
        <v>18</v>
      </c>
      <c r="I483">
        <v>7</v>
      </c>
      <c r="J483">
        <v>145</v>
      </c>
      <c r="K483" t="s">
        <v>19</v>
      </c>
      <c r="L483" t="s">
        <v>24</v>
      </c>
    </row>
    <row r="484" spans="1:12">
      <c r="A484" t="s">
        <v>526</v>
      </c>
      <c r="B484" s="40">
        <v>46265</v>
      </c>
      <c r="C484" t="s">
        <v>52</v>
      </c>
      <c r="D484" t="s">
        <v>42</v>
      </c>
      <c r="E484" t="s">
        <v>15</v>
      </c>
      <c r="F484" t="s">
        <v>40</v>
      </c>
      <c r="G484" t="s">
        <v>49</v>
      </c>
      <c r="H484" t="s">
        <v>18</v>
      </c>
      <c r="I484">
        <v>26</v>
      </c>
      <c r="J484">
        <v>145</v>
      </c>
      <c r="K484" t="s">
        <v>19</v>
      </c>
      <c r="L484" t="s">
        <v>20</v>
      </c>
    </row>
    <row r="485" spans="1:12">
      <c r="A485" t="s">
        <v>527</v>
      </c>
      <c r="B485" s="40">
        <v>46224</v>
      </c>
      <c r="C485" t="s">
        <v>13</v>
      </c>
      <c r="D485" t="s">
        <v>14</v>
      </c>
      <c r="E485" t="s">
        <v>15</v>
      </c>
      <c r="F485" t="s">
        <v>16</v>
      </c>
      <c r="G485" t="s">
        <v>45</v>
      </c>
      <c r="H485" t="s">
        <v>18</v>
      </c>
      <c r="I485">
        <v>5</v>
      </c>
      <c r="J485">
        <v>185</v>
      </c>
      <c r="K485" t="s">
        <v>19</v>
      </c>
      <c r="L485" t="s">
        <v>24</v>
      </c>
    </row>
    <row r="486" spans="1:12">
      <c r="A486" t="s">
        <v>528</v>
      </c>
      <c r="B486" s="40">
        <v>46252</v>
      </c>
      <c r="C486" t="s">
        <v>26</v>
      </c>
      <c r="D486" t="s">
        <v>53</v>
      </c>
      <c r="E486" t="s">
        <v>48</v>
      </c>
      <c r="F486" t="s">
        <v>28</v>
      </c>
      <c r="G486" t="s">
        <v>29</v>
      </c>
      <c r="H486" t="s">
        <v>30</v>
      </c>
      <c r="I486">
        <v>30</v>
      </c>
      <c r="J486">
        <v>26</v>
      </c>
      <c r="K486" t="s">
        <v>19</v>
      </c>
      <c r="L486" t="s">
        <v>20</v>
      </c>
    </row>
    <row r="487" spans="1:12">
      <c r="A487" t="s">
        <v>529</v>
      </c>
      <c r="B487" s="40">
        <v>46256</v>
      </c>
      <c r="C487" t="s">
        <v>52</v>
      </c>
      <c r="D487" t="s">
        <v>32</v>
      </c>
      <c r="E487" t="s">
        <v>33</v>
      </c>
      <c r="F487" t="s">
        <v>16</v>
      </c>
      <c r="G487" t="s">
        <v>35</v>
      </c>
      <c r="H487" t="s">
        <v>30</v>
      </c>
      <c r="I487">
        <v>33</v>
      </c>
      <c r="J487">
        <v>210</v>
      </c>
      <c r="K487" t="s">
        <v>19</v>
      </c>
      <c r="L487" t="s">
        <v>24</v>
      </c>
    </row>
    <row r="488" spans="1:12">
      <c r="A488" t="s">
        <v>530</v>
      </c>
      <c r="B488" s="40">
        <v>46277</v>
      </c>
      <c r="C488" t="s">
        <v>22</v>
      </c>
      <c r="D488" t="s">
        <v>78</v>
      </c>
      <c r="E488" t="s">
        <v>48</v>
      </c>
      <c r="F488" t="s">
        <v>28</v>
      </c>
      <c r="G488" t="s">
        <v>17</v>
      </c>
      <c r="H488" t="s">
        <v>18</v>
      </c>
      <c r="I488">
        <v>35</v>
      </c>
      <c r="J488">
        <v>260</v>
      </c>
      <c r="K488" t="s">
        <v>20</v>
      </c>
      <c r="L488" t="s">
        <v>24</v>
      </c>
    </row>
    <row r="489" spans="1:12">
      <c r="A489" t="s">
        <v>531</v>
      </c>
      <c r="B489" s="40">
        <v>46283</v>
      </c>
      <c r="C489" t="s">
        <v>13</v>
      </c>
      <c r="D489" t="s">
        <v>78</v>
      </c>
      <c r="E489" t="s">
        <v>48</v>
      </c>
      <c r="F489" t="s">
        <v>28</v>
      </c>
      <c r="G489" t="s">
        <v>23</v>
      </c>
      <c r="H489" t="s">
        <v>18</v>
      </c>
      <c r="I489">
        <v>35</v>
      </c>
      <c r="J489">
        <v>175</v>
      </c>
      <c r="K489" t="s">
        <v>19</v>
      </c>
      <c r="L489" t="s">
        <v>20</v>
      </c>
    </row>
    <row r="490" spans="1:12">
      <c r="A490" t="s">
        <v>532</v>
      </c>
      <c r="B490" s="40">
        <v>46275</v>
      </c>
      <c r="C490" t="s">
        <v>13</v>
      </c>
      <c r="D490" t="s">
        <v>42</v>
      </c>
      <c r="E490" t="s">
        <v>15</v>
      </c>
      <c r="F490" t="s">
        <v>40</v>
      </c>
      <c r="G490" t="s">
        <v>49</v>
      </c>
      <c r="H490" t="s">
        <v>18</v>
      </c>
      <c r="I490">
        <v>26</v>
      </c>
      <c r="J490">
        <v>145</v>
      </c>
      <c r="K490" t="s">
        <v>19</v>
      </c>
      <c r="L490" t="s">
        <v>58</v>
      </c>
    </row>
    <row r="491" spans="1:12">
      <c r="A491" t="s">
        <v>533</v>
      </c>
      <c r="B491" s="40">
        <v>46213</v>
      </c>
      <c r="C491" t="s">
        <v>52</v>
      </c>
      <c r="D491" t="s">
        <v>37</v>
      </c>
      <c r="E491" t="s">
        <v>33</v>
      </c>
      <c r="F491" t="s">
        <v>16</v>
      </c>
      <c r="G491" t="s">
        <v>35</v>
      </c>
      <c r="H491" t="s">
        <v>30</v>
      </c>
      <c r="I491">
        <v>33</v>
      </c>
      <c r="J491">
        <v>210</v>
      </c>
      <c r="K491" t="s">
        <v>19</v>
      </c>
      <c r="L491" t="s">
        <v>24</v>
      </c>
    </row>
    <row r="492" spans="1:12">
      <c r="A492" t="s">
        <v>534</v>
      </c>
      <c r="B492" s="40">
        <v>46286</v>
      </c>
      <c r="C492" t="s">
        <v>52</v>
      </c>
      <c r="D492" t="s">
        <v>57</v>
      </c>
      <c r="E492" t="s">
        <v>15</v>
      </c>
      <c r="F492" t="s">
        <v>40</v>
      </c>
      <c r="G492" t="s">
        <v>17</v>
      </c>
      <c r="H492" t="s">
        <v>18</v>
      </c>
      <c r="I492">
        <v>34</v>
      </c>
      <c r="J492">
        <v>260</v>
      </c>
      <c r="K492" t="s">
        <v>19</v>
      </c>
      <c r="L492" t="s">
        <v>24</v>
      </c>
    </row>
    <row r="493" spans="1:12">
      <c r="A493" t="s">
        <v>535</v>
      </c>
      <c r="B493" s="40">
        <v>46267</v>
      </c>
      <c r="C493" t="s">
        <v>52</v>
      </c>
      <c r="D493" t="s">
        <v>42</v>
      </c>
      <c r="E493" t="s">
        <v>15</v>
      </c>
      <c r="F493" t="s">
        <v>40</v>
      </c>
      <c r="G493" t="s">
        <v>35</v>
      </c>
      <c r="H493" t="s">
        <v>30</v>
      </c>
      <c r="I493">
        <v>30</v>
      </c>
      <c r="J493">
        <v>210</v>
      </c>
      <c r="K493" t="s">
        <v>19</v>
      </c>
      <c r="L493" t="s">
        <v>58</v>
      </c>
    </row>
    <row r="494" spans="1:12">
      <c r="A494" t="s">
        <v>536</v>
      </c>
      <c r="B494" s="40">
        <v>46275</v>
      </c>
      <c r="C494" t="s">
        <v>13</v>
      </c>
      <c r="D494" t="s">
        <v>39</v>
      </c>
      <c r="E494" t="s">
        <v>15</v>
      </c>
      <c r="F494" t="s">
        <v>40</v>
      </c>
      <c r="G494" t="s">
        <v>17</v>
      </c>
      <c r="H494" t="s">
        <v>18</v>
      </c>
      <c r="I494">
        <v>27</v>
      </c>
      <c r="J494">
        <v>260</v>
      </c>
      <c r="K494" t="s">
        <v>20</v>
      </c>
      <c r="L494" t="s">
        <v>20</v>
      </c>
    </row>
    <row r="495" spans="1:12">
      <c r="A495" t="s">
        <v>537</v>
      </c>
      <c r="B495" s="40">
        <v>46275</v>
      </c>
      <c r="C495" t="s">
        <v>22</v>
      </c>
      <c r="D495" t="s">
        <v>53</v>
      </c>
      <c r="E495" t="s">
        <v>48</v>
      </c>
      <c r="F495" t="s">
        <v>28</v>
      </c>
      <c r="G495" t="s">
        <v>29</v>
      </c>
      <c r="H495" t="s">
        <v>30</v>
      </c>
      <c r="I495">
        <v>21</v>
      </c>
      <c r="J495">
        <v>26</v>
      </c>
      <c r="K495" t="s">
        <v>19</v>
      </c>
      <c r="L495" t="s">
        <v>24</v>
      </c>
    </row>
    <row r="496" spans="1:12">
      <c r="A496" t="s">
        <v>538</v>
      </c>
      <c r="B496" s="40">
        <v>46262</v>
      </c>
      <c r="C496" t="s">
        <v>26</v>
      </c>
      <c r="D496" t="s">
        <v>78</v>
      </c>
      <c r="E496" t="s">
        <v>48</v>
      </c>
      <c r="F496" t="s">
        <v>28</v>
      </c>
      <c r="G496" t="s">
        <v>49</v>
      </c>
      <c r="H496" t="s">
        <v>18</v>
      </c>
      <c r="I496">
        <v>5</v>
      </c>
      <c r="J496">
        <v>145</v>
      </c>
      <c r="K496" t="s">
        <v>19</v>
      </c>
      <c r="L496" t="s">
        <v>24</v>
      </c>
    </row>
    <row r="497" spans="1:12">
      <c r="A497" t="s">
        <v>539</v>
      </c>
      <c r="B497" s="40">
        <v>46218</v>
      </c>
      <c r="C497" t="s">
        <v>13</v>
      </c>
      <c r="D497" t="s">
        <v>42</v>
      </c>
      <c r="E497" t="s">
        <v>15</v>
      </c>
      <c r="F497" t="s">
        <v>40</v>
      </c>
      <c r="G497" t="s">
        <v>29</v>
      </c>
      <c r="H497" t="s">
        <v>30</v>
      </c>
      <c r="I497">
        <v>25</v>
      </c>
      <c r="J497">
        <v>26</v>
      </c>
      <c r="K497" t="s">
        <v>20</v>
      </c>
      <c r="L497" t="s">
        <v>24</v>
      </c>
    </row>
    <row r="498" spans="1:12">
      <c r="A498" t="s">
        <v>540</v>
      </c>
      <c r="B498" s="40">
        <v>46251</v>
      </c>
      <c r="C498" t="s">
        <v>13</v>
      </c>
      <c r="D498" t="s">
        <v>78</v>
      </c>
      <c r="E498" t="s">
        <v>48</v>
      </c>
      <c r="F498" t="s">
        <v>28</v>
      </c>
      <c r="G498" t="s">
        <v>49</v>
      </c>
      <c r="H498" t="s">
        <v>18</v>
      </c>
      <c r="I498">
        <v>20</v>
      </c>
      <c r="J498">
        <v>145</v>
      </c>
      <c r="K498" t="s">
        <v>19</v>
      </c>
      <c r="L498" t="s">
        <v>24</v>
      </c>
    </row>
    <row r="499" spans="1:12">
      <c r="A499" t="s">
        <v>541</v>
      </c>
      <c r="B499" s="40">
        <v>46282</v>
      </c>
      <c r="C499" t="s">
        <v>22</v>
      </c>
      <c r="D499" t="s">
        <v>32</v>
      </c>
      <c r="E499" t="s">
        <v>33</v>
      </c>
      <c r="F499" t="s">
        <v>16</v>
      </c>
      <c r="G499" t="s">
        <v>29</v>
      </c>
      <c r="H499" t="s">
        <v>30</v>
      </c>
      <c r="I499">
        <v>28</v>
      </c>
      <c r="J499">
        <v>26</v>
      </c>
      <c r="K499" t="s">
        <v>19</v>
      </c>
      <c r="L499" t="s">
        <v>58</v>
      </c>
    </row>
    <row r="500" spans="1:12">
      <c r="A500" t="s">
        <v>542</v>
      </c>
      <c r="B500" s="40">
        <v>46228</v>
      </c>
      <c r="C500" t="s">
        <v>26</v>
      </c>
      <c r="D500" t="s">
        <v>47</v>
      </c>
      <c r="E500" t="s">
        <v>48</v>
      </c>
      <c r="F500" t="s">
        <v>16</v>
      </c>
      <c r="G500" t="s">
        <v>45</v>
      </c>
      <c r="H500" t="s">
        <v>18</v>
      </c>
      <c r="I500">
        <v>31</v>
      </c>
      <c r="J500">
        <v>185</v>
      </c>
      <c r="K500" t="s">
        <v>19</v>
      </c>
      <c r="L500" t="s">
        <v>24</v>
      </c>
    </row>
    <row r="501" spans="1:12">
      <c r="A501" t="s">
        <v>543</v>
      </c>
      <c r="B501" s="40">
        <v>46279</v>
      </c>
      <c r="C501" t="s">
        <v>22</v>
      </c>
      <c r="D501" t="s">
        <v>53</v>
      </c>
      <c r="E501" t="s">
        <v>48</v>
      </c>
      <c r="F501" t="s">
        <v>28</v>
      </c>
      <c r="G501" t="s">
        <v>17</v>
      </c>
      <c r="H501" t="s">
        <v>18</v>
      </c>
      <c r="I501">
        <v>30</v>
      </c>
      <c r="J501">
        <v>260</v>
      </c>
      <c r="K501" t="s">
        <v>20</v>
      </c>
      <c r="L501" t="s">
        <v>24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02"/>
  <sheetViews>
    <sheetView view="pageBreakPreview" zoomScaleNormal="100" topLeftCell="C1" workbookViewId="0">
      <selection activeCell="A1" sqref="A1:M1"/>
    </sheetView>
  </sheetViews>
  <sheetFormatPr defaultColWidth="9.14285714285714" defaultRowHeight="15"/>
  <cols>
    <col min="1" max="1" width="23.4285714285714" customWidth="1"/>
    <col min="2" max="2" width="23.5714285714286" style="29" customWidth="1"/>
    <col min="3" max="3" width="23.5714285714286" customWidth="1"/>
    <col min="4" max="4" width="23.2857142857143" customWidth="1"/>
    <col min="5" max="8" width="23.5714285714286" customWidth="1"/>
    <col min="9" max="10" width="23.5714285714286" style="29" customWidth="1"/>
    <col min="11" max="11" width="23.1428571428571" customWidth="1"/>
    <col min="12" max="12" width="23.2857142857143" customWidth="1"/>
    <col min="13" max="13" width="23.5714285714286" customWidth="1"/>
  </cols>
  <sheetData>
    <row r="1" ht="24" spans="1:14">
      <c r="A1" s="30" t="s">
        <v>544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ht="18" spans="1:14">
      <c r="A2" s="32" t="s">
        <v>0</v>
      </c>
      <c r="B2" s="33" t="s">
        <v>1</v>
      </c>
      <c r="C2" s="34" t="s">
        <v>2</v>
      </c>
      <c r="D2" s="34" t="s">
        <v>3</v>
      </c>
      <c r="E2" s="34" t="s">
        <v>4</v>
      </c>
      <c r="F2" s="34" t="s">
        <v>5</v>
      </c>
      <c r="G2" s="34" t="s">
        <v>6</v>
      </c>
      <c r="H2" s="34" t="s">
        <v>7</v>
      </c>
      <c r="I2" s="33" t="s">
        <v>8</v>
      </c>
      <c r="J2" s="33" t="s">
        <v>9</v>
      </c>
      <c r="K2" s="34" t="s">
        <v>10</v>
      </c>
      <c r="L2" s="34" t="s">
        <v>11</v>
      </c>
      <c r="M2" s="6" t="s">
        <v>545</v>
      </c>
    </row>
    <row r="3" ht="15.75" spans="1:14">
      <c r="A3" s="35" t="s">
        <v>12</v>
      </c>
      <c r="B3" s="36">
        <v>46221</v>
      </c>
      <c r="C3" s="35" t="s">
        <v>13</v>
      </c>
      <c r="D3" s="35" t="s">
        <v>14</v>
      </c>
      <c r="E3" s="35" t="s">
        <v>15</v>
      </c>
      <c r="F3" s="35" t="s">
        <v>16</v>
      </c>
      <c r="G3" s="35" t="s">
        <v>17</v>
      </c>
      <c r="H3" s="35" t="s">
        <v>18</v>
      </c>
      <c r="I3" s="37">
        <v>19</v>
      </c>
      <c r="J3" s="38">
        <v>260</v>
      </c>
      <c r="K3" s="35" t="s">
        <v>19</v>
      </c>
      <c r="L3" s="35" t="s">
        <v>20</v>
      </c>
      <c r="M3" s="38">
        <f t="shared" ref="M3:M66" si="0">I3*J3</f>
        <v>4940</v>
      </c>
    </row>
    <row r="4" ht="15.75" spans="1:14">
      <c r="A4" s="35" t="s">
        <v>21</v>
      </c>
      <c r="B4" s="36">
        <v>46231</v>
      </c>
      <c r="C4" s="35" t="s">
        <v>22</v>
      </c>
      <c r="D4" s="35" t="s">
        <v>14</v>
      </c>
      <c r="E4" s="35" t="s">
        <v>15</v>
      </c>
      <c r="F4" s="35" t="s">
        <v>16</v>
      </c>
      <c r="G4" s="35" t="s">
        <v>23</v>
      </c>
      <c r="H4" s="35" t="s">
        <v>18</v>
      </c>
      <c r="I4" s="37">
        <v>41</v>
      </c>
      <c r="J4" s="38">
        <v>175</v>
      </c>
      <c r="K4" s="35" t="s">
        <v>19</v>
      </c>
      <c r="L4" s="35" t="s">
        <v>24</v>
      </c>
      <c r="M4" s="38">
        <f t="shared" si="0"/>
        <v>7175</v>
      </c>
    </row>
    <row r="5" ht="15.75" spans="1:14">
      <c r="A5" s="35" t="s">
        <v>25</v>
      </c>
      <c r="B5" s="36">
        <v>46279</v>
      </c>
      <c r="C5" s="35" t="s">
        <v>26</v>
      </c>
      <c r="D5" s="35" t="s">
        <v>27</v>
      </c>
      <c r="E5" s="35" t="s">
        <v>15</v>
      </c>
      <c r="F5" s="35" t="s">
        <v>28</v>
      </c>
      <c r="G5" s="35" t="s">
        <v>29</v>
      </c>
      <c r="H5" s="35" t="s">
        <v>30</v>
      </c>
      <c r="I5" s="37">
        <v>28</v>
      </c>
      <c r="J5" s="38">
        <v>26</v>
      </c>
      <c r="K5" s="35" t="s">
        <v>20</v>
      </c>
      <c r="L5" s="35" t="s">
        <v>24</v>
      </c>
      <c r="M5" s="38">
        <f t="shared" si="0"/>
        <v>728</v>
      </c>
    </row>
    <row r="6" ht="15.75" spans="1:14">
      <c r="A6" s="35" t="s">
        <v>31</v>
      </c>
      <c r="B6" s="36">
        <v>46223</v>
      </c>
      <c r="C6" s="35" t="s">
        <v>22</v>
      </c>
      <c r="D6" s="35" t="s">
        <v>32</v>
      </c>
      <c r="E6" s="35" t="s">
        <v>33</v>
      </c>
      <c r="F6" s="35" t="s">
        <v>16</v>
      </c>
      <c r="G6" s="35" t="s">
        <v>29</v>
      </c>
      <c r="H6" s="35" t="s">
        <v>30</v>
      </c>
      <c r="I6" s="37">
        <v>29</v>
      </c>
      <c r="J6" s="38">
        <v>26</v>
      </c>
      <c r="K6" s="35" t="s">
        <v>20</v>
      </c>
      <c r="L6" s="35" t="s">
        <v>24</v>
      </c>
      <c r="M6" s="38">
        <f t="shared" si="0"/>
        <v>754</v>
      </c>
    </row>
    <row r="7" ht="15.75" spans="1:14">
      <c r="A7" s="35" t="s">
        <v>34</v>
      </c>
      <c r="B7" s="36">
        <v>46248</v>
      </c>
      <c r="C7" s="35" t="s">
        <v>26</v>
      </c>
      <c r="D7" s="35" t="s">
        <v>14</v>
      </c>
      <c r="E7" s="35" t="s">
        <v>15</v>
      </c>
      <c r="F7" s="35" t="s">
        <v>16</v>
      </c>
      <c r="G7" s="35" t="s">
        <v>35</v>
      </c>
      <c r="H7" s="35" t="s">
        <v>30</v>
      </c>
      <c r="I7" s="37">
        <v>8</v>
      </c>
      <c r="J7" s="38">
        <v>210</v>
      </c>
      <c r="K7" s="35" t="s">
        <v>20</v>
      </c>
      <c r="L7" s="35" t="s">
        <v>20</v>
      </c>
      <c r="M7" s="38">
        <f t="shared" si="0"/>
        <v>1680</v>
      </c>
    </row>
    <row r="8" ht="15.75" spans="1:14">
      <c r="A8" s="35" t="s">
        <v>36</v>
      </c>
      <c r="B8" s="36">
        <v>46284</v>
      </c>
      <c r="C8" s="35" t="s">
        <v>26</v>
      </c>
      <c r="D8" s="35" t="s">
        <v>37</v>
      </c>
      <c r="E8" s="35" t="s">
        <v>33</v>
      </c>
      <c r="F8" s="35" t="s">
        <v>16</v>
      </c>
      <c r="G8" s="35" t="s">
        <v>17</v>
      </c>
      <c r="H8" s="35" t="s">
        <v>18</v>
      </c>
      <c r="I8" s="37">
        <v>54</v>
      </c>
      <c r="J8" s="38">
        <v>260</v>
      </c>
      <c r="K8" s="35" t="s">
        <v>19</v>
      </c>
      <c r="L8" s="35" t="s">
        <v>20</v>
      </c>
      <c r="M8" s="38">
        <f t="shared" si="0"/>
        <v>14040</v>
      </c>
      <c r="N8" s="39"/>
    </row>
    <row r="9" ht="15.75" spans="1:14">
      <c r="A9" s="35" t="s">
        <v>38</v>
      </c>
      <c r="B9" s="36">
        <v>46214</v>
      </c>
      <c r="C9" s="35" t="s">
        <v>22</v>
      </c>
      <c r="D9" s="35" t="s">
        <v>39</v>
      </c>
      <c r="E9" s="35" t="s">
        <v>15</v>
      </c>
      <c r="F9" s="35" t="s">
        <v>40</v>
      </c>
      <c r="G9" s="35" t="s">
        <v>29</v>
      </c>
      <c r="H9" s="35" t="s">
        <v>30</v>
      </c>
      <c r="I9" s="37">
        <v>16</v>
      </c>
      <c r="J9" s="38">
        <v>26</v>
      </c>
      <c r="K9" s="35" t="s">
        <v>20</v>
      </c>
      <c r="L9" s="35" t="s">
        <v>24</v>
      </c>
      <c r="M9" s="38">
        <f t="shared" si="0"/>
        <v>416</v>
      </c>
    </row>
    <row r="10" ht="15.75" spans="1:14">
      <c r="A10" s="35" t="s">
        <v>41</v>
      </c>
      <c r="B10" s="36">
        <v>46249</v>
      </c>
      <c r="C10" s="35" t="s">
        <v>22</v>
      </c>
      <c r="D10" s="35" t="s">
        <v>42</v>
      </c>
      <c r="E10" s="35" t="s">
        <v>15</v>
      </c>
      <c r="F10" s="35" t="s">
        <v>40</v>
      </c>
      <c r="G10" s="35" t="s">
        <v>29</v>
      </c>
      <c r="H10" s="35" t="s">
        <v>30</v>
      </c>
      <c r="I10" s="37">
        <v>25</v>
      </c>
      <c r="J10" s="38">
        <v>26</v>
      </c>
      <c r="K10" s="35" t="s">
        <v>19</v>
      </c>
      <c r="L10" s="35" t="s">
        <v>20</v>
      </c>
      <c r="M10" s="38">
        <f t="shared" si="0"/>
        <v>650</v>
      </c>
    </row>
    <row r="11" ht="15.75" spans="1:14">
      <c r="A11" s="35" t="s">
        <v>43</v>
      </c>
      <c r="B11" s="36">
        <v>46235</v>
      </c>
      <c r="C11" s="35" t="s">
        <v>22</v>
      </c>
      <c r="D11" s="35" t="s">
        <v>14</v>
      </c>
      <c r="E11" s="35" t="s">
        <v>15</v>
      </c>
      <c r="F11" s="35" t="s">
        <v>16</v>
      </c>
      <c r="G11" s="35" t="s">
        <v>23</v>
      </c>
      <c r="H11" s="35" t="s">
        <v>18</v>
      </c>
      <c r="I11" s="37">
        <v>12</v>
      </c>
      <c r="J11" s="38">
        <v>175</v>
      </c>
      <c r="K11" s="35" t="s">
        <v>19</v>
      </c>
      <c r="L11" s="35" t="s">
        <v>24</v>
      </c>
      <c r="M11" s="38">
        <f t="shared" si="0"/>
        <v>2100</v>
      </c>
    </row>
    <row r="12" ht="15.75" spans="1:14">
      <c r="A12" s="35" t="s">
        <v>44</v>
      </c>
      <c r="B12" s="36">
        <v>46211</v>
      </c>
      <c r="C12" s="35" t="s">
        <v>22</v>
      </c>
      <c r="D12" s="35" t="s">
        <v>37</v>
      </c>
      <c r="E12" s="35" t="s">
        <v>33</v>
      </c>
      <c r="F12" s="35" t="s">
        <v>16</v>
      </c>
      <c r="G12" s="35" t="s">
        <v>45</v>
      </c>
      <c r="H12" s="35" t="s">
        <v>18</v>
      </c>
      <c r="I12" s="37">
        <v>22</v>
      </c>
      <c r="J12" s="38">
        <v>185</v>
      </c>
      <c r="K12" s="35" t="s">
        <v>20</v>
      </c>
      <c r="L12" s="35" t="s">
        <v>20</v>
      </c>
      <c r="M12" s="38">
        <f t="shared" si="0"/>
        <v>4070</v>
      </c>
    </row>
    <row r="13" ht="15.75" spans="1:14">
      <c r="A13" s="35" t="s">
        <v>46</v>
      </c>
      <c r="B13" s="36">
        <v>46276</v>
      </c>
      <c r="C13" s="35" t="s">
        <v>26</v>
      </c>
      <c r="D13" s="35" t="s">
        <v>47</v>
      </c>
      <c r="E13" s="35" t="s">
        <v>48</v>
      </c>
      <c r="F13" s="35" t="s">
        <v>16</v>
      </c>
      <c r="G13" s="35" t="s">
        <v>49</v>
      </c>
      <c r="H13" s="35" t="s">
        <v>18</v>
      </c>
      <c r="I13" s="37">
        <v>6</v>
      </c>
      <c r="J13" s="38">
        <v>145</v>
      </c>
      <c r="K13" s="35" t="s">
        <v>19</v>
      </c>
      <c r="L13" s="35" t="s">
        <v>24</v>
      </c>
      <c r="M13" s="38">
        <f t="shared" si="0"/>
        <v>870</v>
      </c>
    </row>
    <row r="14" ht="15.75" spans="1:14">
      <c r="A14" s="35" t="s">
        <v>50</v>
      </c>
      <c r="B14" s="36">
        <v>46275</v>
      </c>
      <c r="C14" s="35" t="s">
        <v>26</v>
      </c>
      <c r="D14" s="35" t="s">
        <v>42</v>
      </c>
      <c r="E14" s="35" t="s">
        <v>15</v>
      </c>
      <c r="F14" s="35" t="s">
        <v>40</v>
      </c>
      <c r="G14" s="35" t="s">
        <v>45</v>
      </c>
      <c r="H14" s="35" t="s">
        <v>18</v>
      </c>
      <c r="I14" s="37">
        <v>18</v>
      </c>
      <c r="J14" s="38">
        <v>185</v>
      </c>
      <c r="K14" s="35" t="s">
        <v>20</v>
      </c>
      <c r="L14" s="35" t="s">
        <v>24</v>
      </c>
      <c r="M14" s="38">
        <f t="shared" si="0"/>
        <v>3330</v>
      </c>
    </row>
    <row r="15" ht="15.75" spans="1:14">
      <c r="A15" s="35" t="s">
        <v>51</v>
      </c>
      <c r="B15" s="36">
        <v>46221</v>
      </c>
      <c r="C15" s="35" t="s">
        <v>52</v>
      </c>
      <c r="D15" s="35" t="s">
        <v>53</v>
      </c>
      <c r="E15" s="35" t="s">
        <v>48</v>
      </c>
      <c r="F15" s="35" t="s">
        <v>28</v>
      </c>
      <c r="G15" s="35" t="s">
        <v>35</v>
      </c>
      <c r="H15" s="35" t="s">
        <v>30</v>
      </c>
      <c r="I15" s="37">
        <v>25</v>
      </c>
      <c r="J15" s="38">
        <v>210</v>
      </c>
      <c r="K15" s="35" t="s">
        <v>19</v>
      </c>
      <c r="L15" s="35" t="s">
        <v>24</v>
      </c>
      <c r="M15" s="38">
        <f t="shared" si="0"/>
        <v>5250</v>
      </c>
    </row>
    <row r="16" ht="15.75" spans="1:14">
      <c r="A16" s="35" t="s">
        <v>54</v>
      </c>
      <c r="B16" s="36">
        <v>46258</v>
      </c>
      <c r="C16" s="35" t="s">
        <v>13</v>
      </c>
      <c r="D16" s="35" t="s">
        <v>14</v>
      </c>
      <c r="E16" s="35" t="s">
        <v>15</v>
      </c>
      <c r="F16" s="35" t="s">
        <v>16</v>
      </c>
      <c r="G16" s="35" t="s">
        <v>45</v>
      </c>
      <c r="H16" s="35" t="s">
        <v>18</v>
      </c>
      <c r="I16" s="37">
        <v>12</v>
      </c>
      <c r="J16" s="38">
        <v>185</v>
      </c>
      <c r="K16" s="35" t="s">
        <v>19</v>
      </c>
      <c r="L16" s="35" t="s">
        <v>24</v>
      </c>
      <c r="M16" s="38">
        <f t="shared" si="0"/>
        <v>2220</v>
      </c>
    </row>
    <row r="17" ht="15.75" spans="1:13">
      <c r="A17" s="35" t="s">
        <v>55</v>
      </c>
      <c r="B17" s="36">
        <v>46205</v>
      </c>
      <c r="C17" s="35" t="s">
        <v>13</v>
      </c>
      <c r="D17" s="35" t="s">
        <v>42</v>
      </c>
      <c r="E17" s="35" t="s">
        <v>15</v>
      </c>
      <c r="F17" s="35" t="s">
        <v>40</v>
      </c>
      <c r="G17" s="35" t="s">
        <v>23</v>
      </c>
      <c r="H17" s="35" t="s">
        <v>18</v>
      </c>
      <c r="I17" s="37">
        <v>18</v>
      </c>
      <c r="J17" s="38">
        <v>175</v>
      </c>
      <c r="K17" s="35" t="s">
        <v>19</v>
      </c>
      <c r="L17" s="35" t="s">
        <v>24</v>
      </c>
      <c r="M17" s="38">
        <f t="shared" si="0"/>
        <v>3150</v>
      </c>
    </row>
    <row r="18" ht="15.75" spans="1:13">
      <c r="A18" s="35" t="s">
        <v>56</v>
      </c>
      <c r="B18" s="36">
        <v>46259</v>
      </c>
      <c r="C18" s="35" t="s">
        <v>22</v>
      </c>
      <c r="D18" s="35" t="s">
        <v>57</v>
      </c>
      <c r="E18" s="35" t="s">
        <v>15</v>
      </c>
      <c r="F18" s="35" t="s">
        <v>40</v>
      </c>
      <c r="G18" s="35" t="s">
        <v>29</v>
      </c>
      <c r="H18" s="35" t="s">
        <v>30</v>
      </c>
      <c r="I18" s="37">
        <v>23</v>
      </c>
      <c r="J18" s="38">
        <v>26</v>
      </c>
      <c r="K18" s="35" t="s">
        <v>19</v>
      </c>
      <c r="L18" s="35" t="s">
        <v>58</v>
      </c>
      <c r="M18" s="38">
        <f t="shared" si="0"/>
        <v>598</v>
      </c>
    </row>
    <row r="19" ht="15.75" spans="1:13">
      <c r="A19" s="35" t="s">
        <v>59</v>
      </c>
      <c r="B19" s="36">
        <v>46217</v>
      </c>
      <c r="C19" s="35" t="s">
        <v>26</v>
      </c>
      <c r="D19" s="35" t="s">
        <v>57</v>
      </c>
      <c r="E19" s="35" t="s">
        <v>15</v>
      </c>
      <c r="F19" s="35" t="s">
        <v>40</v>
      </c>
      <c r="G19" s="35" t="s">
        <v>23</v>
      </c>
      <c r="H19" s="35" t="s">
        <v>18</v>
      </c>
      <c r="I19" s="37">
        <v>13</v>
      </c>
      <c r="J19" s="38">
        <v>175</v>
      </c>
      <c r="K19" s="35" t="s">
        <v>20</v>
      </c>
      <c r="L19" s="35" t="s">
        <v>24</v>
      </c>
      <c r="M19" s="38">
        <f t="shared" si="0"/>
        <v>2275</v>
      </c>
    </row>
    <row r="20" ht="15.75" spans="1:13">
      <c r="A20" s="35" t="s">
        <v>60</v>
      </c>
      <c r="B20" s="36">
        <v>46273</v>
      </c>
      <c r="C20" s="35" t="s">
        <v>13</v>
      </c>
      <c r="D20" s="35" t="s">
        <v>27</v>
      </c>
      <c r="E20" s="35" t="s">
        <v>15</v>
      </c>
      <c r="F20" s="35" t="s">
        <v>28</v>
      </c>
      <c r="G20" s="35" t="s">
        <v>45</v>
      </c>
      <c r="H20" s="35" t="s">
        <v>18</v>
      </c>
      <c r="I20" s="37">
        <v>25</v>
      </c>
      <c r="J20" s="38">
        <v>185</v>
      </c>
      <c r="K20" s="35" t="s">
        <v>19</v>
      </c>
      <c r="L20" s="35" t="s">
        <v>24</v>
      </c>
      <c r="M20" s="38">
        <f t="shared" si="0"/>
        <v>4625</v>
      </c>
    </row>
    <row r="21" ht="15.75" spans="1:13">
      <c r="A21" s="35" t="s">
        <v>61</v>
      </c>
      <c r="B21" s="36">
        <v>46234</v>
      </c>
      <c r="C21" s="35" t="s">
        <v>13</v>
      </c>
      <c r="D21" s="35" t="s">
        <v>14</v>
      </c>
      <c r="E21" s="35" t="s">
        <v>15</v>
      </c>
      <c r="F21" s="35" t="s">
        <v>16</v>
      </c>
      <c r="G21" s="35" t="s">
        <v>49</v>
      </c>
      <c r="H21" s="35" t="s">
        <v>18</v>
      </c>
      <c r="I21" s="37">
        <v>21</v>
      </c>
      <c r="J21" s="38">
        <v>145</v>
      </c>
      <c r="K21" s="35" t="s">
        <v>19</v>
      </c>
      <c r="L21" s="35" t="s">
        <v>24</v>
      </c>
      <c r="M21" s="38">
        <f t="shared" si="0"/>
        <v>3045</v>
      </c>
    </row>
    <row r="22" ht="15.75" spans="1:13">
      <c r="A22" s="35" t="s">
        <v>62</v>
      </c>
      <c r="B22" s="36">
        <v>46264</v>
      </c>
      <c r="C22" s="35" t="s">
        <v>22</v>
      </c>
      <c r="D22" s="35" t="s">
        <v>14</v>
      </c>
      <c r="E22" s="35" t="s">
        <v>15</v>
      </c>
      <c r="F22" s="35" t="s">
        <v>16</v>
      </c>
      <c r="G22" s="35" t="s">
        <v>23</v>
      </c>
      <c r="H22" s="35" t="s">
        <v>18</v>
      </c>
      <c r="I22" s="37">
        <v>10</v>
      </c>
      <c r="J22" s="38">
        <v>175</v>
      </c>
      <c r="K22" s="35" t="s">
        <v>19</v>
      </c>
      <c r="L22" s="35" t="s">
        <v>20</v>
      </c>
      <c r="M22" s="38">
        <f t="shared" si="0"/>
        <v>1750</v>
      </c>
    </row>
    <row r="23" ht="15.75" spans="1:13">
      <c r="A23" s="35" t="s">
        <v>63</v>
      </c>
      <c r="B23" s="36">
        <v>46255</v>
      </c>
      <c r="C23" s="35" t="s">
        <v>26</v>
      </c>
      <c r="D23" s="35" t="s">
        <v>47</v>
      </c>
      <c r="E23" s="35" t="s">
        <v>48</v>
      </c>
      <c r="F23" s="35" t="s">
        <v>16</v>
      </c>
      <c r="G23" s="35" t="s">
        <v>45</v>
      </c>
      <c r="H23" s="35" t="s">
        <v>18</v>
      </c>
      <c r="I23" s="37">
        <v>14</v>
      </c>
      <c r="J23" s="38">
        <v>185</v>
      </c>
      <c r="K23" s="35" t="s">
        <v>19</v>
      </c>
      <c r="L23" s="35" t="s">
        <v>24</v>
      </c>
      <c r="M23" s="38">
        <f t="shared" si="0"/>
        <v>2590</v>
      </c>
    </row>
    <row r="24" ht="15.75" spans="1:13">
      <c r="A24" s="35" t="s">
        <v>64</v>
      </c>
      <c r="B24" s="36">
        <v>46279</v>
      </c>
      <c r="C24" s="35" t="s">
        <v>22</v>
      </c>
      <c r="D24" s="35" t="s">
        <v>14</v>
      </c>
      <c r="E24" s="35" t="s">
        <v>15</v>
      </c>
      <c r="F24" s="35" t="s">
        <v>16</v>
      </c>
      <c r="G24" s="35" t="s">
        <v>45</v>
      </c>
      <c r="H24" s="35" t="s">
        <v>18</v>
      </c>
      <c r="I24" s="37">
        <v>37</v>
      </c>
      <c r="J24" s="38">
        <v>185</v>
      </c>
      <c r="K24" s="35" t="s">
        <v>19</v>
      </c>
      <c r="L24" s="35" t="s">
        <v>24</v>
      </c>
      <c r="M24" s="38">
        <f t="shared" si="0"/>
        <v>6845</v>
      </c>
    </row>
    <row r="25" ht="15.75" spans="1:13">
      <c r="A25" s="35" t="s">
        <v>65</v>
      </c>
      <c r="B25" s="36">
        <v>46246</v>
      </c>
      <c r="C25" s="35" t="s">
        <v>13</v>
      </c>
      <c r="D25" s="35" t="s">
        <v>39</v>
      </c>
      <c r="E25" s="35" t="s">
        <v>15</v>
      </c>
      <c r="F25" s="35" t="s">
        <v>40</v>
      </c>
      <c r="G25" s="35" t="s">
        <v>45</v>
      </c>
      <c r="H25" s="35" t="s">
        <v>18</v>
      </c>
      <c r="I25" s="37">
        <v>6</v>
      </c>
      <c r="J25" s="38">
        <v>185</v>
      </c>
      <c r="K25" s="35" t="s">
        <v>19</v>
      </c>
      <c r="L25" s="35" t="s">
        <v>24</v>
      </c>
      <c r="M25" s="38">
        <f t="shared" si="0"/>
        <v>1110</v>
      </c>
    </row>
    <row r="26" ht="15.75" spans="1:13">
      <c r="A26" s="35" t="s">
        <v>66</v>
      </c>
      <c r="B26" s="36">
        <v>46277</v>
      </c>
      <c r="C26" s="35" t="s">
        <v>52</v>
      </c>
      <c r="D26" s="35" t="s">
        <v>42</v>
      </c>
      <c r="E26" s="35" t="s">
        <v>15</v>
      </c>
      <c r="F26" s="35" t="s">
        <v>40</v>
      </c>
      <c r="G26" s="35" t="s">
        <v>45</v>
      </c>
      <c r="H26" s="35" t="s">
        <v>18</v>
      </c>
      <c r="I26" s="37">
        <v>10</v>
      </c>
      <c r="J26" s="38">
        <v>185</v>
      </c>
      <c r="K26" s="35" t="s">
        <v>19</v>
      </c>
      <c r="L26" s="35" t="s">
        <v>24</v>
      </c>
      <c r="M26" s="38">
        <f t="shared" si="0"/>
        <v>1850</v>
      </c>
    </row>
    <row r="27" ht="15.75" spans="1:13">
      <c r="A27" s="35" t="s">
        <v>67</v>
      </c>
      <c r="B27" s="36">
        <v>46259</v>
      </c>
      <c r="C27" s="35" t="s">
        <v>26</v>
      </c>
      <c r="D27" s="35" t="s">
        <v>47</v>
      </c>
      <c r="E27" s="35" t="s">
        <v>48</v>
      </c>
      <c r="F27" s="35" t="s">
        <v>16</v>
      </c>
      <c r="G27" s="35" t="s">
        <v>45</v>
      </c>
      <c r="H27" s="35" t="s">
        <v>18</v>
      </c>
      <c r="I27" s="37">
        <v>8</v>
      </c>
      <c r="J27" s="38">
        <v>185</v>
      </c>
      <c r="K27" s="35" t="s">
        <v>19</v>
      </c>
      <c r="L27" s="35" t="s">
        <v>24</v>
      </c>
      <c r="M27" s="38">
        <f t="shared" si="0"/>
        <v>1480</v>
      </c>
    </row>
    <row r="28" ht="15.75" spans="1:13">
      <c r="A28" s="35" t="s">
        <v>68</v>
      </c>
      <c r="B28" s="36">
        <v>46217</v>
      </c>
      <c r="C28" s="35" t="s">
        <v>22</v>
      </c>
      <c r="D28" s="35" t="s">
        <v>39</v>
      </c>
      <c r="E28" s="35" t="s">
        <v>15</v>
      </c>
      <c r="F28" s="35" t="s">
        <v>40</v>
      </c>
      <c r="G28" s="35" t="s">
        <v>29</v>
      </c>
      <c r="H28" s="35" t="s">
        <v>30</v>
      </c>
      <c r="I28" s="37">
        <v>57</v>
      </c>
      <c r="J28" s="38">
        <v>26</v>
      </c>
      <c r="K28" s="35" t="s">
        <v>19</v>
      </c>
      <c r="L28" s="35" t="s">
        <v>24</v>
      </c>
      <c r="M28" s="38">
        <f t="shared" si="0"/>
        <v>1482</v>
      </c>
    </row>
    <row r="29" ht="15.75" spans="1:13">
      <c r="A29" s="35" t="s">
        <v>69</v>
      </c>
      <c r="B29" s="36">
        <v>46235</v>
      </c>
      <c r="C29" s="35" t="s">
        <v>13</v>
      </c>
      <c r="D29" s="35" t="s">
        <v>32</v>
      </c>
      <c r="E29" s="35" t="s">
        <v>33</v>
      </c>
      <c r="F29" s="35" t="s">
        <v>16</v>
      </c>
      <c r="G29" s="35" t="s">
        <v>35</v>
      </c>
      <c r="H29" s="35" t="s">
        <v>30</v>
      </c>
      <c r="I29" s="37">
        <v>13</v>
      </c>
      <c r="J29" s="38">
        <v>210</v>
      </c>
      <c r="K29" s="35" t="s">
        <v>19</v>
      </c>
      <c r="L29" s="35" t="s">
        <v>20</v>
      </c>
      <c r="M29" s="38">
        <f t="shared" si="0"/>
        <v>2730</v>
      </c>
    </row>
    <row r="30" ht="15.75" spans="1:13">
      <c r="A30" s="35" t="s">
        <v>70</v>
      </c>
      <c r="B30" s="36">
        <v>46273</v>
      </c>
      <c r="C30" s="35" t="s">
        <v>13</v>
      </c>
      <c r="D30" s="35" t="s">
        <v>37</v>
      </c>
      <c r="E30" s="35" t="s">
        <v>33</v>
      </c>
      <c r="F30" s="35" t="s">
        <v>16</v>
      </c>
      <c r="G30" s="35" t="s">
        <v>17</v>
      </c>
      <c r="H30" s="35" t="s">
        <v>18</v>
      </c>
      <c r="I30" s="37">
        <v>5</v>
      </c>
      <c r="J30" s="38">
        <v>260</v>
      </c>
      <c r="K30" s="35" t="s">
        <v>20</v>
      </c>
      <c r="L30" s="35" t="s">
        <v>58</v>
      </c>
      <c r="M30" s="38">
        <f t="shared" si="0"/>
        <v>1300</v>
      </c>
    </row>
    <row r="31" ht="15.75" spans="1:13">
      <c r="A31" s="35" t="s">
        <v>71</v>
      </c>
      <c r="B31" s="36">
        <v>46231</v>
      </c>
      <c r="C31" s="35" t="s">
        <v>52</v>
      </c>
      <c r="D31" s="35" t="s">
        <v>27</v>
      </c>
      <c r="E31" s="35" t="s">
        <v>15</v>
      </c>
      <c r="F31" s="35" t="s">
        <v>28</v>
      </c>
      <c r="G31" s="35" t="s">
        <v>45</v>
      </c>
      <c r="H31" s="35" t="s">
        <v>18</v>
      </c>
      <c r="I31" s="37">
        <v>28</v>
      </c>
      <c r="J31" s="38">
        <v>185</v>
      </c>
      <c r="K31" s="35" t="s">
        <v>20</v>
      </c>
      <c r="L31" s="35" t="s">
        <v>24</v>
      </c>
      <c r="M31" s="38">
        <f t="shared" si="0"/>
        <v>5180</v>
      </c>
    </row>
    <row r="32" ht="15.75" spans="1:13">
      <c r="A32" s="35" t="s">
        <v>72</v>
      </c>
      <c r="B32" s="36">
        <v>46262</v>
      </c>
      <c r="C32" s="35" t="s">
        <v>26</v>
      </c>
      <c r="D32" s="35" t="s">
        <v>39</v>
      </c>
      <c r="E32" s="35" t="s">
        <v>15</v>
      </c>
      <c r="F32" s="35" t="s">
        <v>40</v>
      </c>
      <c r="G32" s="35" t="s">
        <v>35</v>
      </c>
      <c r="H32" s="35" t="s">
        <v>30</v>
      </c>
      <c r="I32" s="37">
        <v>18</v>
      </c>
      <c r="J32" s="38">
        <v>210</v>
      </c>
      <c r="K32" s="35" t="s">
        <v>19</v>
      </c>
      <c r="L32" s="35" t="s">
        <v>58</v>
      </c>
      <c r="M32" s="38">
        <f t="shared" si="0"/>
        <v>3780</v>
      </c>
    </row>
    <row r="33" ht="15.75" spans="1:13">
      <c r="A33" s="35" t="s">
        <v>73</v>
      </c>
      <c r="B33" s="36">
        <v>46241</v>
      </c>
      <c r="C33" s="35" t="s">
        <v>22</v>
      </c>
      <c r="D33" s="35" t="s">
        <v>37</v>
      </c>
      <c r="E33" s="35" t="s">
        <v>33</v>
      </c>
      <c r="F33" s="35" t="s">
        <v>16</v>
      </c>
      <c r="G33" s="35" t="s">
        <v>29</v>
      </c>
      <c r="H33" s="35" t="s">
        <v>30</v>
      </c>
      <c r="I33" s="37">
        <v>33</v>
      </c>
      <c r="J33" s="38">
        <v>26</v>
      </c>
      <c r="K33" s="35" t="s">
        <v>20</v>
      </c>
      <c r="L33" s="35" t="s">
        <v>24</v>
      </c>
      <c r="M33" s="38">
        <f t="shared" si="0"/>
        <v>858</v>
      </c>
    </row>
    <row r="34" ht="15.75" spans="1:13">
      <c r="A34" s="35" t="s">
        <v>74</v>
      </c>
      <c r="B34" s="36">
        <v>46265</v>
      </c>
      <c r="C34" s="35" t="s">
        <v>22</v>
      </c>
      <c r="D34" s="35" t="s">
        <v>37</v>
      </c>
      <c r="E34" s="35" t="s">
        <v>33</v>
      </c>
      <c r="F34" s="35" t="s">
        <v>16</v>
      </c>
      <c r="G34" s="35" t="s">
        <v>17</v>
      </c>
      <c r="H34" s="35" t="s">
        <v>18</v>
      </c>
      <c r="I34" s="37">
        <v>73</v>
      </c>
      <c r="J34" s="38">
        <v>260</v>
      </c>
      <c r="K34" s="35" t="s">
        <v>19</v>
      </c>
      <c r="L34" s="35" t="s">
        <v>24</v>
      </c>
      <c r="M34" s="38">
        <f t="shared" si="0"/>
        <v>18980</v>
      </c>
    </row>
    <row r="35" ht="15.75" spans="1:13">
      <c r="A35" s="35" t="s">
        <v>75</v>
      </c>
      <c r="B35" s="36">
        <v>46234</v>
      </c>
      <c r="C35" s="35" t="s">
        <v>52</v>
      </c>
      <c r="D35" s="35" t="s">
        <v>32</v>
      </c>
      <c r="E35" s="35" t="s">
        <v>33</v>
      </c>
      <c r="F35" s="35" t="s">
        <v>16</v>
      </c>
      <c r="G35" s="35" t="s">
        <v>17</v>
      </c>
      <c r="H35" s="35" t="s">
        <v>18</v>
      </c>
      <c r="I35" s="37">
        <v>6</v>
      </c>
      <c r="J35" s="38">
        <v>260</v>
      </c>
      <c r="K35" s="35" t="s">
        <v>19</v>
      </c>
      <c r="L35" s="35" t="s">
        <v>20</v>
      </c>
      <c r="M35" s="38">
        <f t="shared" si="0"/>
        <v>1560</v>
      </c>
    </row>
    <row r="36" ht="15.75" spans="1:13">
      <c r="A36" s="35" t="s">
        <v>76</v>
      </c>
      <c r="B36" s="36">
        <v>46257</v>
      </c>
      <c r="C36" s="35" t="s">
        <v>26</v>
      </c>
      <c r="D36" s="35" t="s">
        <v>27</v>
      </c>
      <c r="E36" s="35" t="s">
        <v>15</v>
      </c>
      <c r="F36" s="35" t="s">
        <v>28</v>
      </c>
      <c r="G36" s="35" t="s">
        <v>23</v>
      </c>
      <c r="H36" s="35" t="s">
        <v>18</v>
      </c>
      <c r="I36" s="37">
        <v>4</v>
      </c>
      <c r="J36" s="38">
        <v>175</v>
      </c>
      <c r="K36" s="35" t="s">
        <v>20</v>
      </c>
      <c r="L36" s="35" t="s">
        <v>24</v>
      </c>
      <c r="M36" s="38">
        <f t="shared" si="0"/>
        <v>700</v>
      </c>
    </row>
    <row r="37" ht="15.75" spans="1:13">
      <c r="A37" s="35" t="s">
        <v>77</v>
      </c>
      <c r="B37" s="36">
        <v>46289</v>
      </c>
      <c r="C37" s="35" t="s">
        <v>26</v>
      </c>
      <c r="D37" s="35" t="s">
        <v>78</v>
      </c>
      <c r="E37" s="35" t="s">
        <v>48</v>
      </c>
      <c r="F37" s="35" t="s">
        <v>28</v>
      </c>
      <c r="G37" s="35" t="s">
        <v>45</v>
      </c>
      <c r="H37" s="35" t="s">
        <v>18</v>
      </c>
      <c r="I37" s="37">
        <v>18</v>
      </c>
      <c r="J37" s="38">
        <v>185</v>
      </c>
      <c r="K37" s="35" t="s">
        <v>19</v>
      </c>
      <c r="L37" s="35" t="s">
        <v>58</v>
      </c>
      <c r="M37" s="38">
        <f t="shared" si="0"/>
        <v>3330</v>
      </c>
    </row>
    <row r="38" ht="15.75" spans="1:13">
      <c r="A38" s="35" t="s">
        <v>79</v>
      </c>
      <c r="B38" s="36">
        <v>46276</v>
      </c>
      <c r="C38" s="35" t="s">
        <v>13</v>
      </c>
      <c r="D38" s="35" t="s">
        <v>14</v>
      </c>
      <c r="E38" s="35" t="s">
        <v>15</v>
      </c>
      <c r="F38" s="35" t="s">
        <v>16</v>
      </c>
      <c r="G38" s="35" t="s">
        <v>17</v>
      </c>
      <c r="H38" s="35" t="s">
        <v>18</v>
      </c>
      <c r="I38" s="37">
        <v>31</v>
      </c>
      <c r="J38" s="38">
        <v>260</v>
      </c>
      <c r="K38" s="35" t="s">
        <v>19</v>
      </c>
      <c r="L38" s="35" t="s">
        <v>24</v>
      </c>
      <c r="M38" s="38">
        <f t="shared" si="0"/>
        <v>8060</v>
      </c>
    </row>
    <row r="39" ht="15.75" spans="1:13">
      <c r="A39" s="35" t="s">
        <v>80</v>
      </c>
      <c r="B39" s="36">
        <v>46235</v>
      </c>
      <c r="C39" s="35" t="s">
        <v>26</v>
      </c>
      <c r="D39" s="35" t="s">
        <v>57</v>
      </c>
      <c r="E39" s="35" t="s">
        <v>15</v>
      </c>
      <c r="F39" s="35" t="s">
        <v>40</v>
      </c>
      <c r="G39" s="35" t="s">
        <v>45</v>
      </c>
      <c r="H39" s="35" t="s">
        <v>18</v>
      </c>
      <c r="I39" s="37">
        <v>24</v>
      </c>
      <c r="J39" s="38">
        <v>185</v>
      </c>
      <c r="K39" s="35" t="s">
        <v>19</v>
      </c>
      <c r="L39" s="35" t="s">
        <v>24</v>
      </c>
      <c r="M39" s="38">
        <f t="shared" si="0"/>
        <v>4440</v>
      </c>
    </row>
    <row r="40" ht="15.75" spans="1:13">
      <c r="A40" s="35" t="s">
        <v>81</v>
      </c>
      <c r="B40" s="36">
        <v>46287</v>
      </c>
      <c r="C40" s="35" t="s">
        <v>13</v>
      </c>
      <c r="D40" s="35" t="s">
        <v>37</v>
      </c>
      <c r="E40" s="35" t="s">
        <v>33</v>
      </c>
      <c r="F40" s="35" t="s">
        <v>16</v>
      </c>
      <c r="G40" s="35" t="s">
        <v>29</v>
      </c>
      <c r="H40" s="35" t="s">
        <v>30</v>
      </c>
      <c r="I40" s="37">
        <v>21</v>
      </c>
      <c r="J40" s="38">
        <v>26</v>
      </c>
      <c r="K40" s="35" t="s">
        <v>19</v>
      </c>
      <c r="L40" s="35" t="s">
        <v>24</v>
      </c>
      <c r="M40" s="38">
        <f t="shared" si="0"/>
        <v>546</v>
      </c>
    </row>
    <row r="41" ht="15.75" spans="1:13">
      <c r="A41" s="35" t="s">
        <v>82</v>
      </c>
      <c r="B41" s="36">
        <v>46217</v>
      </c>
      <c r="C41" s="35" t="s">
        <v>22</v>
      </c>
      <c r="D41" s="35" t="s">
        <v>14</v>
      </c>
      <c r="E41" s="35" t="s">
        <v>15</v>
      </c>
      <c r="F41" s="35" t="s">
        <v>16</v>
      </c>
      <c r="G41" s="35" t="s">
        <v>45</v>
      </c>
      <c r="H41" s="35" t="s">
        <v>18</v>
      </c>
      <c r="I41" s="37">
        <v>18</v>
      </c>
      <c r="J41" s="38">
        <v>185</v>
      </c>
      <c r="K41" s="35" t="s">
        <v>19</v>
      </c>
      <c r="L41" s="35" t="s">
        <v>24</v>
      </c>
      <c r="M41" s="38">
        <f t="shared" si="0"/>
        <v>3330</v>
      </c>
    </row>
    <row r="42" ht="15.75" spans="1:13">
      <c r="A42" s="35" t="s">
        <v>83</v>
      </c>
      <c r="B42" s="36">
        <v>46236</v>
      </c>
      <c r="C42" s="35" t="s">
        <v>13</v>
      </c>
      <c r="D42" s="35" t="s">
        <v>78</v>
      </c>
      <c r="E42" s="35" t="s">
        <v>48</v>
      </c>
      <c r="F42" s="35" t="s">
        <v>28</v>
      </c>
      <c r="G42" s="35" t="s">
        <v>45</v>
      </c>
      <c r="H42" s="35" t="s">
        <v>18</v>
      </c>
      <c r="I42" s="37">
        <v>18</v>
      </c>
      <c r="J42" s="38">
        <v>185</v>
      </c>
      <c r="K42" s="35" t="s">
        <v>19</v>
      </c>
      <c r="L42" s="35" t="s">
        <v>24</v>
      </c>
      <c r="M42" s="38">
        <f t="shared" si="0"/>
        <v>3330</v>
      </c>
    </row>
    <row r="43" ht="15.75" spans="1:13">
      <c r="A43" s="35" t="s">
        <v>84</v>
      </c>
      <c r="B43" s="36">
        <v>46220</v>
      </c>
      <c r="C43" s="35" t="s">
        <v>26</v>
      </c>
      <c r="D43" s="35" t="s">
        <v>57</v>
      </c>
      <c r="E43" s="35" t="s">
        <v>15</v>
      </c>
      <c r="F43" s="35" t="s">
        <v>40</v>
      </c>
      <c r="G43" s="35" t="s">
        <v>17</v>
      </c>
      <c r="H43" s="35" t="s">
        <v>18</v>
      </c>
      <c r="I43" s="37">
        <v>2</v>
      </c>
      <c r="J43" s="38">
        <v>260</v>
      </c>
      <c r="K43" s="35" t="s">
        <v>19</v>
      </c>
      <c r="L43" s="35" t="s">
        <v>24</v>
      </c>
      <c r="M43" s="38">
        <f t="shared" si="0"/>
        <v>520</v>
      </c>
    </row>
    <row r="44" ht="15.75" spans="1:13">
      <c r="A44" s="35" t="s">
        <v>85</v>
      </c>
      <c r="B44" s="36">
        <v>46292</v>
      </c>
      <c r="C44" s="35" t="s">
        <v>22</v>
      </c>
      <c r="D44" s="35" t="s">
        <v>47</v>
      </c>
      <c r="E44" s="35" t="s">
        <v>48</v>
      </c>
      <c r="F44" s="35" t="s">
        <v>16</v>
      </c>
      <c r="G44" s="35" t="s">
        <v>23</v>
      </c>
      <c r="H44" s="35" t="s">
        <v>18</v>
      </c>
      <c r="I44" s="37">
        <v>2</v>
      </c>
      <c r="J44" s="38">
        <v>175</v>
      </c>
      <c r="K44" s="35" t="s">
        <v>19</v>
      </c>
      <c r="L44" s="35" t="s">
        <v>20</v>
      </c>
      <c r="M44" s="38">
        <f t="shared" si="0"/>
        <v>350</v>
      </c>
    </row>
    <row r="45" ht="15.75" spans="1:13">
      <c r="A45" s="35" t="s">
        <v>86</v>
      </c>
      <c r="B45" s="36">
        <v>46209</v>
      </c>
      <c r="C45" s="35" t="s">
        <v>26</v>
      </c>
      <c r="D45" s="35" t="s">
        <v>53</v>
      </c>
      <c r="E45" s="35" t="s">
        <v>48</v>
      </c>
      <c r="F45" s="35" t="s">
        <v>28</v>
      </c>
      <c r="G45" s="35" t="s">
        <v>23</v>
      </c>
      <c r="H45" s="35" t="s">
        <v>18</v>
      </c>
      <c r="I45" s="37">
        <v>11</v>
      </c>
      <c r="J45" s="38">
        <v>175</v>
      </c>
      <c r="K45" s="35" t="s">
        <v>19</v>
      </c>
      <c r="L45" s="35" t="s">
        <v>58</v>
      </c>
      <c r="M45" s="38">
        <f t="shared" si="0"/>
        <v>1925</v>
      </c>
    </row>
    <row r="46" ht="15.75" spans="1:13">
      <c r="A46" s="35" t="s">
        <v>87</v>
      </c>
      <c r="B46" s="36">
        <v>46289</v>
      </c>
      <c r="C46" s="35" t="s">
        <v>13</v>
      </c>
      <c r="D46" s="35" t="s">
        <v>39</v>
      </c>
      <c r="E46" s="35" t="s">
        <v>15</v>
      </c>
      <c r="F46" s="35" t="s">
        <v>40</v>
      </c>
      <c r="G46" s="35" t="s">
        <v>49</v>
      </c>
      <c r="H46" s="35" t="s">
        <v>18</v>
      </c>
      <c r="I46" s="37">
        <v>15</v>
      </c>
      <c r="J46" s="38">
        <v>145</v>
      </c>
      <c r="K46" s="35" t="s">
        <v>19</v>
      </c>
      <c r="L46" s="35" t="s">
        <v>24</v>
      </c>
      <c r="M46" s="38">
        <f t="shared" si="0"/>
        <v>2175</v>
      </c>
    </row>
    <row r="47" ht="15.75" spans="1:13">
      <c r="A47" s="35" t="s">
        <v>88</v>
      </c>
      <c r="B47" s="36">
        <v>46234</v>
      </c>
      <c r="C47" s="35" t="s">
        <v>22</v>
      </c>
      <c r="D47" s="35" t="s">
        <v>47</v>
      </c>
      <c r="E47" s="35" t="s">
        <v>48</v>
      </c>
      <c r="F47" s="35" t="s">
        <v>16</v>
      </c>
      <c r="G47" s="35" t="s">
        <v>23</v>
      </c>
      <c r="H47" s="35" t="s">
        <v>18</v>
      </c>
      <c r="I47" s="37">
        <v>11</v>
      </c>
      <c r="J47" s="38">
        <v>175</v>
      </c>
      <c r="K47" s="35" t="s">
        <v>20</v>
      </c>
      <c r="L47" s="35" t="s">
        <v>20</v>
      </c>
      <c r="M47" s="38">
        <f t="shared" si="0"/>
        <v>1925</v>
      </c>
    </row>
    <row r="48" ht="15.75" spans="1:13">
      <c r="A48" s="35" t="s">
        <v>89</v>
      </c>
      <c r="B48" s="36">
        <v>46246</v>
      </c>
      <c r="C48" s="35" t="s">
        <v>52</v>
      </c>
      <c r="D48" s="35" t="s">
        <v>47</v>
      </c>
      <c r="E48" s="35" t="s">
        <v>48</v>
      </c>
      <c r="F48" s="35" t="s">
        <v>16</v>
      </c>
      <c r="G48" s="35" t="s">
        <v>17</v>
      </c>
      <c r="H48" s="35" t="s">
        <v>18</v>
      </c>
      <c r="I48" s="37">
        <v>13</v>
      </c>
      <c r="J48" s="38">
        <v>260</v>
      </c>
      <c r="K48" s="35" t="s">
        <v>20</v>
      </c>
      <c r="L48" s="35" t="s">
        <v>20</v>
      </c>
      <c r="M48" s="38">
        <f t="shared" si="0"/>
        <v>3380</v>
      </c>
    </row>
    <row r="49" ht="15.75" spans="1:13">
      <c r="A49" s="35" t="s">
        <v>90</v>
      </c>
      <c r="B49" s="36">
        <v>46217</v>
      </c>
      <c r="C49" s="35" t="s">
        <v>52</v>
      </c>
      <c r="D49" s="35" t="s">
        <v>27</v>
      </c>
      <c r="E49" s="35" t="s">
        <v>15</v>
      </c>
      <c r="F49" s="35" t="s">
        <v>28</v>
      </c>
      <c r="G49" s="35" t="s">
        <v>49</v>
      </c>
      <c r="H49" s="35" t="s">
        <v>18</v>
      </c>
      <c r="I49" s="37">
        <v>12</v>
      </c>
      <c r="J49" s="38">
        <v>145</v>
      </c>
      <c r="K49" s="35" t="s">
        <v>20</v>
      </c>
      <c r="L49" s="35" t="s">
        <v>20</v>
      </c>
      <c r="M49" s="38">
        <f t="shared" si="0"/>
        <v>1740</v>
      </c>
    </row>
    <row r="50" ht="15.75" spans="1:13">
      <c r="A50" s="35" t="s">
        <v>91</v>
      </c>
      <c r="B50" s="36">
        <v>46233</v>
      </c>
      <c r="C50" s="35" t="s">
        <v>22</v>
      </c>
      <c r="D50" s="35" t="s">
        <v>27</v>
      </c>
      <c r="E50" s="35" t="s">
        <v>15</v>
      </c>
      <c r="F50" s="35" t="s">
        <v>28</v>
      </c>
      <c r="G50" s="35" t="s">
        <v>45</v>
      </c>
      <c r="H50" s="35" t="s">
        <v>18</v>
      </c>
      <c r="I50" s="37">
        <v>31</v>
      </c>
      <c r="J50" s="38">
        <v>185</v>
      </c>
      <c r="K50" s="35" t="s">
        <v>19</v>
      </c>
      <c r="L50" s="35" t="s">
        <v>24</v>
      </c>
      <c r="M50" s="38">
        <f t="shared" si="0"/>
        <v>5735</v>
      </c>
    </row>
    <row r="51" ht="15.75" spans="1:13">
      <c r="A51" s="35" t="s">
        <v>92</v>
      </c>
      <c r="B51" s="36">
        <v>46239</v>
      </c>
      <c r="C51" s="35" t="s">
        <v>26</v>
      </c>
      <c r="D51" s="35" t="s">
        <v>78</v>
      </c>
      <c r="E51" s="35" t="s">
        <v>48</v>
      </c>
      <c r="F51" s="35" t="s">
        <v>28</v>
      </c>
      <c r="G51" s="35" t="s">
        <v>49</v>
      </c>
      <c r="H51" s="35" t="s">
        <v>18</v>
      </c>
      <c r="I51" s="37">
        <v>6</v>
      </c>
      <c r="J51" s="38">
        <v>145</v>
      </c>
      <c r="K51" s="35" t="s">
        <v>19</v>
      </c>
      <c r="L51" s="35" t="s">
        <v>24</v>
      </c>
      <c r="M51" s="38">
        <f t="shared" si="0"/>
        <v>870</v>
      </c>
    </row>
    <row r="52" ht="15.75" spans="1:13">
      <c r="A52" s="35" t="s">
        <v>93</v>
      </c>
      <c r="B52" s="36">
        <v>46237</v>
      </c>
      <c r="C52" s="35" t="s">
        <v>22</v>
      </c>
      <c r="D52" s="35" t="s">
        <v>37</v>
      </c>
      <c r="E52" s="35" t="s">
        <v>33</v>
      </c>
      <c r="F52" s="35" t="s">
        <v>16</v>
      </c>
      <c r="G52" s="35" t="s">
        <v>49</v>
      </c>
      <c r="H52" s="35" t="s">
        <v>18</v>
      </c>
      <c r="I52" s="37">
        <v>3</v>
      </c>
      <c r="J52" s="38">
        <v>145</v>
      </c>
      <c r="K52" s="35" t="s">
        <v>19</v>
      </c>
      <c r="L52" s="35" t="s">
        <v>58</v>
      </c>
      <c r="M52" s="38">
        <f t="shared" si="0"/>
        <v>435</v>
      </c>
    </row>
    <row r="53" ht="15.75" spans="1:13">
      <c r="A53" s="35" t="s">
        <v>94</v>
      </c>
      <c r="B53" s="36">
        <v>46244</v>
      </c>
      <c r="C53" s="35" t="s">
        <v>52</v>
      </c>
      <c r="D53" s="35" t="s">
        <v>39</v>
      </c>
      <c r="E53" s="35" t="s">
        <v>15</v>
      </c>
      <c r="F53" s="35" t="s">
        <v>40</v>
      </c>
      <c r="G53" s="35" t="s">
        <v>17</v>
      </c>
      <c r="H53" s="35" t="s">
        <v>18</v>
      </c>
      <c r="I53" s="37">
        <v>29</v>
      </c>
      <c r="J53" s="38">
        <v>260</v>
      </c>
      <c r="K53" s="35" t="s">
        <v>19</v>
      </c>
      <c r="L53" s="35" t="s">
        <v>24</v>
      </c>
      <c r="M53" s="38">
        <f t="shared" si="0"/>
        <v>7540</v>
      </c>
    </row>
    <row r="54" ht="15.75" spans="1:13">
      <c r="A54" s="35" t="s">
        <v>95</v>
      </c>
      <c r="B54" s="36">
        <v>46294</v>
      </c>
      <c r="C54" s="35" t="s">
        <v>52</v>
      </c>
      <c r="D54" s="35" t="s">
        <v>47</v>
      </c>
      <c r="E54" s="35" t="s">
        <v>48</v>
      </c>
      <c r="F54" s="35" t="s">
        <v>16</v>
      </c>
      <c r="G54" s="35" t="s">
        <v>23</v>
      </c>
      <c r="H54" s="35" t="s">
        <v>18</v>
      </c>
      <c r="I54" s="37">
        <v>14</v>
      </c>
      <c r="J54" s="38">
        <v>175</v>
      </c>
      <c r="K54" s="35" t="s">
        <v>19</v>
      </c>
      <c r="L54" s="35" t="s">
        <v>58</v>
      </c>
      <c r="M54" s="38">
        <f t="shared" si="0"/>
        <v>2450</v>
      </c>
    </row>
    <row r="55" ht="15.75" spans="1:13">
      <c r="A55" s="35" t="s">
        <v>96</v>
      </c>
      <c r="B55" s="36">
        <v>46212</v>
      </c>
      <c r="C55" s="35" t="s">
        <v>26</v>
      </c>
      <c r="D55" s="35" t="s">
        <v>37</v>
      </c>
      <c r="E55" s="35" t="s">
        <v>33</v>
      </c>
      <c r="F55" s="35" t="s">
        <v>16</v>
      </c>
      <c r="G55" s="35" t="s">
        <v>29</v>
      </c>
      <c r="H55" s="35" t="s">
        <v>30</v>
      </c>
      <c r="I55" s="37">
        <v>14</v>
      </c>
      <c r="J55" s="38">
        <v>26</v>
      </c>
      <c r="K55" s="35" t="s">
        <v>19</v>
      </c>
      <c r="L55" s="35" t="s">
        <v>24</v>
      </c>
      <c r="M55" s="38">
        <f t="shared" si="0"/>
        <v>364</v>
      </c>
    </row>
    <row r="56" ht="15.75" spans="1:13">
      <c r="A56" s="35" t="s">
        <v>97</v>
      </c>
      <c r="B56" s="36">
        <v>46289</v>
      </c>
      <c r="C56" s="35" t="s">
        <v>52</v>
      </c>
      <c r="D56" s="35" t="s">
        <v>14</v>
      </c>
      <c r="E56" s="35" t="s">
        <v>15</v>
      </c>
      <c r="F56" s="35" t="s">
        <v>16</v>
      </c>
      <c r="G56" s="35" t="s">
        <v>29</v>
      </c>
      <c r="H56" s="35" t="s">
        <v>30</v>
      </c>
      <c r="I56" s="37">
        <v>21</v>
      </c>
      <c r="J56" s="38">
        <v>26</v>
      </c>
      <c r="K56" s="35" t="s">
        <v>19</v>
      </c>
      <c r="L56" s="35" t="s">
        <v>20</v>
      </c>
      <c r="M56" s="38">
        <f t="shared" si="0"/>
        <v>546</v>
      </c>
    </row>
    <row r="57" ht="15.75" spans="1:13">
      <c r="A57" s="35" t="s">
        <v>98</v>
      </c>
      <c r="B57" s="36">
        <v>46252</v>
      </c>
      <c r="C57" s="35" t="s">
        <v>22</v>
      </c>
      <c r="D57" s="35" t="s">
        <v>37</v>
      </c>
      <c r="E57" s="35" t="s">
        <v>33</v>
      </c>
      <c r="F57" s="35" t="s">
        <v>16</v>
      </c>
      <c r="G57" s="35" t="s">
        <v>45</v>
      </c>
      <c r="H57" s="35" t="s">
        <v>18</v>
      </c>
      <c r="I57" s="37">
        <v>14</v>
      </c>
      <c r="J57" s="38">
        <v>185</v>
      </c>
      <c r="K57" s="35" t="s">
        <v>19</v>
      </c>
      <c r="L57" s="35" t="s">
        <v>24</v>
      </c>
      <c r="M57" s="38">
        <f t="shared" si="0"/>
        <v>2590</v>
      </c>
    </row>
    <row r="58" ht="15.75" spans="1:13">
      <c r="A58" s="35" t="s">
        <v>99</v>
      </c>
      <c r="B58" s="36">
        <v>46259</v>
      </c>
      <c r="C58" s="35" t="s">
        <v>26</v>
      </c>
      <c r="D58" s="35" t="s">
        <v>37</v>
      </c>
      <c r="E58" s="35" t="s">
        <v>33</v>
      </c>
      <c r="F58" s="35" t="s">
        <v>16</v>
      </c>
      <c r="G58" s="35" t="s">
        <v>17</v>
      </c>
      <c r="H58" s="35" t="s">
        <v>18</v>
      </c>
      <c r="I58" s="37">
        <v>21</v>
      </c>
      <c r="J58" s="38">
        <v>260</v>
      </c>
      <c r="K58" s="35" t="s">
        <v>19</v>
      </c>
      <c r="L58" s="35" t="s">
        <v>24</v>
      </c>
      <c r="M58" s="38">
        <f t="shared" si="0"/>
        <v>5460</v>
      </c>
    </row>
    <row r="59" ht="15.75" spans="1:13">
      <c r="A59" s="35" t="s">
        <v>100</v>
      </c>
      <c r="B59" s="36">
        <v>46225</v>
      </c>
      <c r="C59" s="35" t="s">
        <v>13</v>
      </c>
      <c r="D59" s="35" t="s">
        <v>27</v>
      </c>
      <c r="E59" s="35" t="s">
        <v>15</v>
      </c>
      <c r="F59" s="35" t="s">
        <v>28</v>
      </c>
      <c r="G59" s="35" t="s">
        <v>23</v>
      </c>
      <c r="H59" s="35" t="s">
        <v>18</v>
      </c>
      <c r="I59" s="37">
        <v>32</v>
      </c>
      <c r="J59" s="38">
        <v>175</v>
      </c>
      <c r="K59" s="35" t="s">
        <v>19</v>
      </c>
      <c r="L59" s="35" t="s">
        <v>24</v>
      </c>
      <c r="M59" s="38">
        <f t="shared" si="0"/>
        <v>5600</v>
      </c>
    </row>
    <row r="60" ht="15.75" spans="1:13">
      <c r="A60" s="35" t="s">
        <v>101</v>
      </c>
      <c r="B60" s="36">
        <v>46234</v>
      </c>
      <c r="C60" s="35" t="s">
        <v>26</v>
      </c>
      <c r="D60" s="35" t="s">
        <v>53</v>
      </c>
      <c r="E60" s="35" t="s">
        <v>48</v>
      </c>
      <c r="F60" s="35" t="s">
        <v>28</v>
      </c>
      <c r="G60" s="35" t="s">
        <v>49</v>
      </c>
      <c r="H60" s="35" t="s">
        <v>18</v>
      </c>
      <c r="I60" s="37">
        <v>7</v>
      </c>
      <c r="J60" s="38">
        <v>145</v>
      </c>
      <c r="K60" s="35" t="s">
        <v>19</v>
      </c>
      <c r="L60" s="35" t="s">
        <v>24</v>
      </c>
      <c r="M60" s="38">
        <f t="shared" si="0"/>
        <v>1015</v>
      </c>
    </row>
    <row r="61" ht="15.75" spans="1:13">
      <c r="A61" s="35" t="s">
        <v>102</v>
      </c>
      <c r="B61" s="36">
        <v>46282</v>
      </c>
      <c r="C61" s="35" t="s">
        <v>13</v>
      </c>
      <c r="D61" s="35" t="s">
        <v>39</v>
      </c>
      <c r="E61" s="35" t="s">
        <v>15</v>
      </c>
      <c r="F61" s="35" t="s">
        <v>40</v>
      </c>
      <c r="G61" s="35" t="s">
        <v>17</v>
      </c>
      <c r="H61" s="35" t="s">
        <v>18</v>
      </c>
      <c r="I61" s="37">
        <v>17</v>
      </c>
      <c r="J61" s="38">
        <v>260</v>
      </c>
      <c r="K61" s="35" t="s">
        <v>19</v>
      </c>
      <c r="L61" s="35" t="s">
        <v>20</v>
      </c>
      <c r="M61" s="38">
        <f t="shared" si="0"/>
        <v>4420</v>
      </c>
    </row>
    <row r="62" ht="15.75" spans="1:13">
      <c r="A62" s="35" t="s">
        <v>103</v>
      </c>
      <c r="B62" s="36">
        <v>46235</v>
      </c>
      <c r="C62" s="35" t="s">
        <v>22</v>
      </c>
      <c r="D62" s="35" t="s">
        <v>53</v>
      </c>
      <c r="E62" s="35" t="s">
        <v>48</v>
      </c>
      <c r="F62" s="35" t="s">
        <v>28</v>
      </c>
      <c r="G62" s="35" t="s">
        <v>45</v>
      </c>
      <c r="H62" s="35" t="s">
        <v>18</v>
      </c>
      <c r="I62" s="37">
        <v>26</v>
      </c>
      <c r="J62" s="38">
        <v>185</v>
      </c>
      <c r="K62" s="35" t="s">
        <v>19</v>
      </c>
      <c r="L62" s="35" t="s">
        <v>24</v>
      </c>
      <c r="M62" s="38">
        <f t="shared" si="0"/>
        <v>4810</v>
      </c>
    </row>
    <row r="63" ht="15.75" spans="1:13">
      <c r="A63" s="35" t="s">
        <v>104</v>
      </c>
      <c r="B63" s="36">
        <v>46293</v>
      </c>
      <c r="C63" s="35" t="s">
        <v>52</v>
      </c>
      <c r="D63" s="35" t="s">
        <v>14</v>
      </c>
      <c r="E63" s="35" t="s">
        <v>15</v>
      </c>
      <c r="F63" s="35" t="s">
        <v>16</v>
      </c>
      <c r="G63" s="35" t="s">
        <v>35</v>
      </c>
      <c r="H63" s="35" t="s">
        <v>30</v>
      </c>
      <c r="I63" s="37">
        <v>16</v>
      </c>
      <c r="J63" s="38">
        <v>210</v>
      </c>
      <c r="K63" s="35" t="s">
        <v>19</v>
      </c>
      <c r="L63" s="35" t="s">
        <v>24</v>
      </c>
      <c r="M63" s="38">
        <f t="shared" si="0"/>
        <v>3360</v>
      </c>
    </row>
    <row r="64" ht="15.75" spans="1:13">
      <c r="A64" s="35" t="s">
        <v>105</v>
      </c>
      <c r="B64" s="36">
        <v>46289</v>
      </c>
      <c r="C64" s="35" t="s">
        <v>26</v>
      </c>
      <c r="D64" s="35" t="s">
        <v>14</v>
      </c>
      <c r="E64" s="35" t="s">
        <v>15</v>
      </c>
      <c r="F64" s="35" t="s">
        <v>16</v>
      </c>
      <c r="G64" s="35" t="s">
        <v>35</v>
      </c>
      <c r="H64" s="35" t="s">
        <v>30</v>
      </c>
      <c r="I64" s="37">
        <v>10</v>
      </c>
      <c r="J64" s="38">
        <v>210</v>
      </c>
      <c r="K64" s="35" t="s">
        <v>20</v>
      </c>
      <c r="L64" s="35" t="s">
        <v>20</v>
      </c>
      <c r="M64" s="38">
        <f t="shared" si="0"/>
        <v>2100</v>
      </c>
    </row>
    <row r="65" ht="15.75" spans="1:13">
      <c r="A65" s="35" t="s">
        <v>106</v>
      </c>
      <c r="B65" s="36">
        <v>46274</v>
      </c>
      <c r="C65" s="35" t="s">
        <v>52</v>
      </c>
      <c r="D65" s="35" t="s">
        <v>53</v>
      </c>
      <c r="E65" s="35" t="s">
        <v>48</v>
      </c>
      <c r="F65" s="35" t="s">
        <v>28</v>
      </c>
      <c r="G65" s="35" t="s">
        <v>29</v>
      </c>
      <c r="H65" s="35" t="s">
        <v>30</v>
      </c>
      <c r="I65" s="37">
        <v>34</v>
      </c>
      <c r="J65" s="38">
        <v>26</v>
      </c>
      <c r="K65" s="35" t="s">
        <v>20</v>
      </c>
      <c r="L65" s="35" t="s">
        <v>20</v>
      </c>
      <c r="M65" s="38">
        <f t="shared" si="0"/>
        <v>884</v>
      </c>
    </row>
    <row r="66" ht="15.75" spans="1:13">
      <c r="A66" s="35" t="s">
        <v>107</v>
      </c>
      <c r="B66" s="36">
        <v>46285</v>
      </c>
      <c r="C66" s="35" t="s">
        <v>26</v>
      </c>
      <c r="D66" s="35" t="s">
        <v>42</v>
      </c>
      <c r="E66" s="35" t="s">
        <v>15</v>
      </c>
      <c r="F66" s="35" t="s">
        <v>40</v>
      </c>
      <c r="G66" s="35" t="s">
        <v>35</v>
      </c>
      <c r="H66" s="35" t="s">
        <v>30</v>
      </c>
      <c r="I66" s="37">
        <v>18</v>
      </c>
      <c r="J66" s="38">
        <v>210</v>
      </c>
      <c r="K66" s="35" t="s">
        <v>20</v>
      </c>
      <c r="L66" s="35" t="s">
        <v>24</v>
      </c>
      <c r="M66" s="38">
        <f t="shared" si="0"/>
        <v>3780</v>
      </c>
    </row>
    <row r="67" ht="15.75" spans="1:13">
      <c r="A67" s="35" t="s">
        <v>108</v>
      </c>
      <c r="B67" s="36">
        <v>46234</v>
      </c>
      <c r="C67" s="35" t="s">
        <v>26</v>
      </c>
      <c r="D67" s="35" t="s">
        <v>27</v>
      </c>
      <c r="E67" s="35" t="s">
        <v>15</v>
      </c>
      <c r="F67" s="35" t="s">
        <v>28</v>
      </c>
      <c r="G67" s="35" t="s">
        <v>49</v>
      </c>
      <c r="H67" s="35" t="s">
        <v>18</v>
      </c>
      <c r="I67" s="37">
        <v>54</v>
      </c>
      <c r="J67" s="38">
        <v>145</v>
      </c>
      <c r="K67" s="35" t="s">
        <v>19</v>
      </c>
      <c r="L67" s="35" t="s">
        <v>20</v>
      </c>
      <c r="M67" s="38">
        <f t="shared" ref="M67:M130" si="1">I67*J67</f>
        <v>7830</v>
      </c>
    </row>
    <row r="68" ht="15.75" spans="1:13">
      <c r="A68" s="35" t="s">
        <v>109</v>
      </c>
      <c r="B68" s="36">
        <v>46292</v>
      </c>
      <c r="C68" s="35" t="s">
        <v>22</v>
      </c>
      <c r="D68" s="35" t="s">
        <v>14</v>
      </c>
      <c r="E68" s="35" t="s">
        <v>15</v>
      </c>
      <c r="F68" s="35" t="s">
        <v>16</v>
      </c>
      <c r="G68" s="35" t="s">
        <v>45</v>
      </c>
      <c r="H68" s="35" t="s">
        <v>18</v>
      </c>
      <c r="I68" s="37">
        <v>11</v>
      </c>
      <c r="J68" s="38">
        <v>185</v>
      </c>
      <c r="K68" s="35" t="s">
        <v>19</v>
      </c>
      <c r="L68" s="35" t="s">
        <v>24</v>
      </c>
      <c r="M68" s="38">
        <f t="shared" si="1"/>
        <v>2035</v>
      </c>
    </row>
    <row r="69" ht="15.75" spans="1:13">
      <c r="A69" s="35" t="s">
        <v>110</v>
      </c>
      <c r="B69" s="36">
        <v>46230</v>
      </c>
      <c r="C69" s="35" t="s">
        <v>52</v>
      </c>
      <c r="D69" s="35" t="s">
        <v>47</v>
      </c>
      <c r="E69" s="35" t="s">
        <v>48</v>
      </c>
      <c r="F69" s="35" t="s">
        <v>16</v>
      </c>
      <c r="G69" s="35" t="s">
        <v>49</v>
      </c>
      <c r="H69" s="35" t="s">
        <v>18</v>
      </c>
      <c r="I69" s="37">
        <v>31</v>
      </c>
      <c r="J69" s="38">
        <v>145</v>
      </c>
      <c r="K69" s="35" t="s">
        <v>19</v>
      </c>
      <c r="L69" s="35" t="s">
        <v>20</v>
      </c>
      <c r="M69" s="38">
        <f t="shared" si="1"/>
        <v>4495</v>
      </c>
    </row>
    <row r="70" ht="15.75" spans="1:13">
      <c r="A70" s="35" t="s">
        <v>111</v>
      </c>
      <c r="B70" s="36">
        <v>46249</v>
      </c>
      <c r="C70" s="35" t="s">
        <v>26</v>
      </c>
      <c r="D70" s="35" t="s">
        <v>39</v>
      </c>
      <c r="E70" s="35" t="s">
        <v>15</v>
      </c>
      <c r="F70" s="35" t="s">
        <v>40</v>
      </c>
      <c r="G70" s="35" t="s">
        <v>23</v>
      </c>
      <c r="H70" s="35" t="s">
        <v>18</v>
      </c>
      <c r="I70" s="37">
        <v>26</v>
      </c>
      <c r="J70" s="38">
        <v>175</v>
      </c>
      <c r="K70" s="35" t="s">
        <v>20</v>
      </c>
      <c r="L70" s="35" t="s">
        <v>20</v>
      </c>
      <c r="M70" s="38">
        <f t="shared" si="1"/>
        <v>4550</v>
      </c>
    </row>
    <row r="71" ht="15.75" spans="1:13">
      <c r="A71" s="35" t="s">
        <v>112</v>
      </c>
      <c r="B71" s="36">
        <v>46238</v>
      </c>
      <c r="C71" s="35" t="s">
        <v>52</v>
      </c>
      <c r="D71" s="35" t="s">
        <v>47</v>
      </c>
      <c r="E71" s="35" t="s">
        <v>48</v>
      </c>
      <c r="F71" s="35" t="s">
        <v>16</v>
      </c>
      <c r="G71" s="35" t="s">
        <v>23</v>
      </c>
      <c r="H71" s="35" t="s">
        <v>18</v>
      </c>
      <c r="I71" s="37">
        <v>16</v>
      </c>
      <c r="J71" s="38">
        <v>175</v>
      </c>
      <c r="K71" s="35" t="s">
        <v>19</v>
      </c>
      <c r="L71" s="35" t="s">
        <v>24</v>
      </c>
      <c r="M71" s="38">
        <f t="shared" si="1"/>
        <v>2800</v>
      </c>
    </row>
    <row r="72" ht="15.75" spans="1:13">
      <c r="A72" s="35" t="s">
        <v>113</v>
      </c>
      <c r="B72" s="36">
        <v>46220</v>
      </c>
      <c r="C72" s="35" t="s">
        <v>13</v>
      </c>
      <c r="D72" s="35" t="s">
        <v>47</v>
      </c>
      <c r="E72" s="35" t="s">
        <v>48</v>
      </c>
      <c r="F72" s="35" t="s">
        <v>16</v>
      </c>
      <c r="G72" s="35" t="s">
        <v>29</v>
      </c>
      <c r="H72" s="35" t="s">
        <v>30</v>
      </c>
      <c r="I72" s="37">
        <v>12</v>
      </c>
      <c r="J72" s="38">
        <v>26</v>
      </c>
      <c r="K72" s="35" t="s">
        <v>20</v>
      </c>
      <c r="L72" s="35" t="s">
        <v>24</v>
      </c>
      <c r="M72" s="38">
        <f t="shared" si="1"/>
        <v>312</v>
      </c>
    </row>
    <row r="73" ht="15.75" spans="1:13">
      <c r="A73" s="35" t="s">
        <v>114</v>
      </c>
      <c r="B73" s="36">
        <v>46263</v>
      </c>
      <c r="C73" s="35" t="s">
        <v>22</v>
      </c>
      <c r="D73" s="35" t="s">
        <v>39</v>
      </c>
      <c r="E73" s="35" t="s">
        <v>15</v>
      </c>
      <c r="F73" s="35" t="s">
        <v>40</v>
      </c>
      <c r="G73" s="35" t="s">
        <v>17</v>
      </c>
      <c r="H73" s="35" t="s">
        <v>18</v>
      </c>
      <c r="I73" s="37">
        <v>29</v>
      </c>
      <c r="J73" s="38">
        <v>260</v>
      </c>
      <c r="K73" s="35" t="s">
        <v>19</v>
      </c>
      <c r="L73" s="35" t="s">
        <v>24</v>
      </c>
      <c r="M73" s="38">
        <f t="shared" si="1"/>
        <v>7540</v>
      </c>
    </row>
    <row r="74" ht="15.75" spans="1:13">
      <c r="A74" s="35" t="s">
        <v>115</v>
      </c>
      <c r="B74" s="36">
        <v>46252</v>
      </c>
      <c r="C74" s="35" t="s">
        <v>26</v>
      </c>
      <c r="D74" s="35" t="s">
        <v>27</v>
      </c>
      <c r="E74" s="35" t="s">
        <v>15</v>
      </c>
      <c r="F74" s="35" t="s">
        <v>28</v>
      </c>
      <c r="G74" s="35" t="s">
        <v>35</v>
      </c>
      <c r="H74" s="35" t="s">
        <v>30</v>
      </c>
      <c r="I74" s="37">
        <v>22</v>
      </c>
      <c r="J74" s="38">
        <v>210</v>
      </c>
      <c r="K74" s="35" t="s">
        <v>20</v>
      </c>
      <c r="L74" s="35" t="s">
        <v>20</v>
      </c>
      <c r="M74" s="38">
        <f t="shared" si="1"/>
        <v>4620</v>
      </c>
    </row>
    <row r="75" ht="15.75" spans="1:13">
      <c r="A75" s="35" t="s">
        <v>116</v>
      </c>
      <c r="B75" s="36">
        <v>46210</v>
      </c>
      <c r="C75" s="35" t="s">
        <v>26</v>
      </c>
      <c r="D75" s="35" t="s">
        <v>57</v>
      </c>
      <c r="E75" s="35" t="s">
        <v>15</v>
      </c>
      <c r="F75" s="35" t="s">
        <v>40</v>
      </c>
      <c r="G75" s="35" t="s">
        <v>17</v>
      </c>
      <c r="H75" s="35" t="s">
        <v>18</v>
      </c>
      <c r="I75" s="37">
        <v>70</v>
      </c>
      <c r="J75" s="38">
        <v>260</v>
      </c>
      <c r="K75" s="35" t="s">
        <v>19</v>
      </c>
      <c r="L75" s="35" t="s">
        <v>24</v>
      </c>
      <c r="M75" s="38">
        <f t="shared" si="1"/>
        <v>18200</v>
      </c>
    </row>
    <row r="76" ht="15.75" spans="1:13">
      <c r="A76" s="35" t="s">
        <v>117</v>
      </c>
      <c r="B76" s="36">
        <v>46206</v>
      </c>
      <c r="C76" s="35" t="s">
        <v>22</v>
      </c>
      <c r="D76" s="35" t="s">
        <v>39</v>
      </c>
      <c r="E76" s="35" t="s">
        <v>15</v>
      </c>
      <c r="F76" s="35" t="s">
        <v>40</v>
      </c>
      <c r="G76" s="35" t="s">
        <v>17</v>
      </c>
      <c r="H76" s="35" t="s">
        <v>18</v>
      </c>
      <c r="I76" s="37">
        <v>17</v>
      </c>
      <c r="J76" s="38">
        <v>260</v>
      </c>
      <c r="K76" s="35" t="s">
        <v>19</v>
      </c>
      <c r="L76" s="35" t="s">
        <v>24</v>
      </c>
      <c r="M76" s="38">
        <f t="shared" si="1"/>
        <v>4420</v>
      </c>
    </row>
    <row r="77" ht="15.75" spans="1:13">
      <c r="A77" s="35" t="s">
        <v>118</v>
      </c>
      <c r="B77" s="36">
        <v>46236</v>
      </c>
      <c r="C77" s="35" t="s">
        <v>26</v>
      </c>
      <c r="D77" s="35" t="s">
        <v>14</v>
      </c>
      <c r="E77" s="35" t="s">
        <v>15</v>
      </c>
      <c r="F77" s="35" t="s">
        <v>16</v>
      </c>
      <c r="G77" s="35" t="s">
        <v>23</v>
      </c>
      <c r="H77" s="35" t="s">
        <v>18</v>
      </c>
      <c r="I77" s="37">
        <v>15</v>
      </c>
      <c r="J77" s="38">
        <v>175</v>
      </c>
      <c r="K77" s="35" t="s">
        <v>19</v>
      </c>
      <c r="L77" s="35" t="s">
        <v>24</v>
      </c>
      <c r="M77" s="38">
        <f t="shared" si="1"/>
        <v>2625</v>
      </c>
    </row>
    <row r="78" ht="15.75" spans="1:13">
      <c r="A78" s="35" t="s">
        <v>119</v>
      </c>
      <c r="B78" s="36">
        <v>46207</v>
      </c>
      <c r="C78" s="35" t="s">
        <v>26</v>
      </c>
      <c r="D78" s="35" t="s">
        <v>14</v>
      </c>
      <c r="E78" s="35" t="s">
        <v>15</v>
      </c>
      <c r="F78" s="35" t="s">
        <v>16</v>
      </c>
      <c r="G78" s="35" t="s">
        <v>45</v>
      </c>
      <c r="H78" s="35" t="s">
        <v>18</v>
      </c>
      <c r="I78" s="37">
        <v>21</v>
      </c>
      <c r="J78" s="38">
        <v>185</v>
      </c>
      <c r="K78" s="35" t="s">
        <v>19</v>
      </c>
      <c r="L78" s="35" t="s">
        <v>58</v>
      </c>
      <c r="M78" s="38">
        <f t="shared" si="1"/>
        <v>3885</v>
      </c>
    </row>
    <row r="79" ht="15.75" spans="1:13">
      <c r="A79" s="35" t="s">
        <v>120</v>
      </c>
      <c r="B79" s="36">
        <v>46284</v>
      </c>
      <c r="C79" s="35" t="s">
        <v>22</v>
      </c>
      <c r="D79" s="35" t="s">
        <v>47</v>
      </c>
      <c r="E79" s="35" t="s">
        <v>48</v>
      </c>
      <c r="F79" s="35" t="s">
        <v>16</v>
      </c>
      <c r="G79" s="35" t="s">
        <v>35</v>
      </c>
      <c r="H79" s="35" t="s">
        <v>30</v>
      </c>
      <c r="I79" s="37">
        <v>80</v>
      </c>
      <c r="J79" s="38">
        <v>210</v>
      </c>
      <c r="K79" s="35" t="s">
        <v>19</v>
      </c>
      <c r="L79" s="35" t="s">
        <v>20</v>
      </c>
      <c r="M79" s="38">
        <f t="shared" si="1"/>
        <v>16800</v>
      </c>
    </row>
    <row r="80" ht="15.75" spans="1:13">
      <c r="A80" s="35" t="s">
        <v>121</v>
      </c>
      <c r="B80" s="36">
        <v>46258</v>
      </c>
      <c r="C80" s="35" t="s">
        <v>26</v>
      </c>
      <c r="D80" s="35" t="s">
        <v>53</v>
      </c>
      <c r="E80" s="35" t="s">
        <v>48</v>
      </c>
      <c r="F80" s="35" t="s">
        <v>28</v>
      </c>
      <c r="G80" s="35" t="s">
        <v>17</v>
      </c>
      <c r="H80" s="35" t="s">
        <v>18</v>
      </c>
      <c r="I80" s="37">
        <v>4</v>
      </c>
      <c r="J80" s="38">
        <v>260</v>
      </c>
      <c r="K80" s="35" t="s">
        <v>19</v>
      </c>
      <c r="L80" s="35" t="s">
        <v>24</v>
      </c>
      <c r="M80" s="38">
        <f t="shared" si="1"/>
        <v>1040</v>
      </c>
    </row>
    <row r="81" ht="15.75" spans="1:13">
      <c r="A81" s="35" t="s">
        <v>122</v>
      </c>
      <c r="B81" s="36">
        <v>46250</v>
      </c>
      <c r="C81" s="35" t="s">
        <v>52</v>
      </c>
      <c r="D81" s="35" t="s">
        <v>39</v>
      </c>
      <c r="E81" s="35" t="s">
        <v>15</v>
      </c>
      <c r="F81" s="35" t="s">
        <v>40</v>
      </c>
      <c r="G81" s="35" t="s">
        <v>35</v>
      </c>
      <c r="H81" s="35" t="s">
        <v>30</v>
      </c>
      <c r="I81" s="37">
        <v>33</v>
      </c>
      <c r="J81" s="38">
        <v>210</v>
      </c>
      <c r="K81" s="35" t="s">
        <v>19</v>
      </c>
      <c r="L81" s="35" t="s">
        <v>24</v>
      </c>
      <c r="M81" s="38">
        <f t="shared" si="1"/>
        <v>6930</v>
      </c>
    </row>
    <row r="82" ht="15.75" spans="1:13">
      <c r="A82" s="35" t="s">
        <v>123</v>
      </c>
      <c r="B82" s="36">
        <v>46272</v>
      </c>
      <c r="C82" s="35" t="s">
        <v>52</v>
      </c>
      <c r="D82" s="35" t="s">
        <v>37</v>
      </c>
      <c r="E82" s="35" t="s">
        <v>33</v>
      </c>
      <c r="F82" s="35" t="s">
        <v>16</v>
      </c>
      <c r="G82" s="35" t="s">
        <v>29</v>
      </c>
      <c r="H82" s="35" t="s">
        <v>30</v>
      </c>
      <c r="I82" s="37">
        <v>19</v>
      </c>
      <c r="J82" s="38">
        <v>26</v>
      </c>
      <c r="K82" s="35" t="s">
        <v>19</v>
      </c>
      <c r="L82" s="35" t="s">
        <v>20</v>
      </c>
      <c r="M82" s="38">
        <f t="shared" si="1"/>
        <v>494</v>
      </c>
    </row>
    <row r="83" ht="15.75" spans="1:13">
      <c r="A83" s="35" t="s">
        <v>124</v>
      </c>
      <c r="B83" s="36">
        <v>46215</v>
      </c>
      <c r="C83" s="35" t="s">
        <v>26</v>
      </c>
      <c r="D83" s="35" t="s">
        <v>53</v>
      </c>
      <c r="E83" s="35" t="s">
        <v>48</v>
      </c>
      <c r="F83" s="35" t="s">
        <v>28</v>
      </c>
      <c r="G83" s="35" t="s">
        <v>49</v>
      </c>
      <c r="H83" s="35" t="s">
        <v>18</v>
      </c>
      <c r="I83" s="37">
        <v>22</v>
      </c>
      <c r="J83" s="38">
        <v>145</v>
      </c>
      <c r="K83" s="35" t="s">
        <v>20</v>
      </c>
      <c r="L83" s="35" t="s">
        <v>24</v>
      </c>
      <c r="M83" s="38">
        <f t="shared" si="1"/>
        <v>3190</v>
      </c>
    </row>
    <row r="84" ht="15.75" spans="1:13">
      <c r="A84" s="35" t="s">
        <v>125</v>
      </c>
      <c r="B84" s="36">
        <v>46267</v>
      </c>
      <c r="C84" s="35" t="s">
        <v>26</v>
      </c>
      <c r="D84" s="35" t="s">
        <v>42</v>
      </c>
      <c r="E84" s="35" t="s">
        <v>15</v>
      </c>
      <c r="F84" s="35" t="s">
        <v>40</v>
      </c>
      <c r="G84" s="35" t="s">
        <v>23</v>
      </c>
      <c r="H84" s="35" t="s">
        <v>18</v>
      </c>
      <c r="I84" s="37">
        <v>26</v>
      </c>
      <c r="J84" s="38">
        <v>175</v>
      </c>
      <c r="K84" s="35" t="s">
        <v>19</v>
      </c>
      <c r="L84" s="35" t="s">
        <v>24</v>
      </c>
      <c r="M84" s="38">
        <f t="shared" si="1"/>
        <v>4550</v>
      </c>
    </row>
    <row r="85" ht="15.75" spans="1:13">
      <c r="A85" s="35" t="s">
        <v>126</v>
      </c>
      <c r="B85" s="36">
        <v>46293</v>
      </c>
      <c r="C85" s="35" t="s">
        <v>26</v>
      </c>
      <c r="D85" s="35" t="s">
        <v>57</v>
      </c>
      <c r="E85" s="35" t="s">
        <v>15</v>
      </c>
      <c r="F85" s="35" t="s">
        <v>40</v>
      </c>
      <c r="G85" s="35" t="s">
        <v>49</v>
      </c>
      <c r="H85" s="35" t="s">
        <v>18</v>
      </c>
      <c r="I85" s="37">
        <v>19</v>
      </c>
      <c r="J85" s="38">
        <v>145</v>
      </c>
      <c r="K85" s="35" t="s">
        <v>19</v>
      </c>
      <c r="L85" s="35" t="s">
        <v>24</v>
      </c>
      <c r="M85" s="38">
        <f t="shared" si="1"/>
        <v>2755</v>
      </c>
    </row>
    <row r="86" ht="15.75" spans="1:13">
      <c r="A86" s="35" t="s">
        <v>127</v>
      </c>
      <c r="B86" s="36">
        <v>46266</v>
      </c>
      <c r="C86" s="35" t="s">
        <v>22</v>
      </c>
      <c r="D86" s="35" t="s">
        <v>27</v>
      </c>
      <c r="E86" s="35" t="s">
        <v>15</v>
      </c>
      <c r="F86" s="35" t="s">
        <v>28</v>
      </c>
      <c r="G86" s="35" t="s">
        <v>17</v>
      </c>
      <c r="H86" s="35" t="s">
        <v>18</v>
      </c>
      <c r="I86" s="37">
        <v>17</v>
      </c>
      <c r="J86" s="38">
        <v>260</v>
      </c>
      <c r="K86" s="35" t="s">
        <v>19</v>
      </c>
      <c r="L86" s="35" t="s">
        <v>24</v>
      </c>
      <c r="M86" s="38">
        <f t="shared" si="1"/>
        <v>4420</v>
      </c>
    </row>
    <row r="87" ht="15.75" spans="1:13">
      <c r="A87" s="35" t="s">
        <v>128</v>
      </c>
      <c r="B87" s="36">
        <v>46232</v>
      </c>
      <c r="C87" s="35" t="s">
        <v>52</v>
      </c>
      <c r="D87" s="35" t="s">
        <v>42</v>
      </c>
      <c r="E87" s="35" t="s">
        <v>15</v>
      </c>
      <c r="F87" s="35" t="s">
        <v>40</v>
      </c>
      <c r="G87" s="35" t="s">
        <v>35</v>
      </c>
      <c r="H87" s="35" t="s">
        <v>30</v>
      </c>
      <c r="I87" s="37">
        <v>3</v>
      </c>
      <c r="J87" s="38">
        <v>210</v>
      </c>
      <c r="K87" s="35" t="s">
        <v>19</v>
      </c>
      <c r="L87" s="35" t="s">
        <v>24</v>
      </c>
      <c r="M87" s="38">
        <f t="shared" si="1"/>
        <v>630</v>
      </c>
    </row>
    <row r="88" ht="15.75" spans="1:13">
      <c r="A88" s="35" t="s">
        <v>129</v>
      </c>
      <c r="B88" s="36">
        <v>46248</v>
      </c>
      <c r="C88" s="35" t="s">
        <v>52</v>
      </c>
      <c r="D88" s="35" t="s">
        <v>53</v>
      </c>
      <c r="E88" s="35" t="s">
        <v>48</v>
      </c>
      <c r="F88" s="35" t="s">
        <v>28</v>
      </c>
      <c r="G88" s="35" t="s">
        <v>49</v>
      </c>
      <c r="H88" s="35" t="s">
        <v>18</v>
      </c>
      <c r="I88" s="37">
        <v>32</v>
      </c>
      <c r="J88" s="38">
        <v>145</v>
      </c>
      <c r="K88" s="35" t="s">
        <v>20</v>
      </c>
      <c r="L88" s="35" t="s">
        <v>24</v>
      </c>
      <c r="M88" s="38">
        <f t="shared" si="1"/>
        <v>4640</v>
      </c>
    </row>
    <row r="89" ht="15.75" spans="1:13">
      <c r="A89" s="35" t="s">
        <v>130</v>
      </c>
      <c r="B89" s="36">
        <v>46236</v>
      </c>
      <c r="C89" s="35" t="s">
        <v>22</v>
      </c>
      <c r="D89" s="35" t="s">
        <v>78</v>
      </c>
      <c r="E89" s="35" t="s">
        <v>48</v>
      </c>
      <c r="F89" s="35" t="s">
        <v>28</v>
      </c>
      <c r="G89" s="35" t="s">
        <v>29</v>
      </c>
      <c r="H89" s="35" t="s">
        <v>30</v>
      </c>
      <c r="I89" s="37">
        <v>31</v>
      </c>
      <c r="J89" s="38">
        <v>26</v>
      </c>
      <c r="K89" s="35" t="s">
        <v>19</v>
      </c>
      <c r="L89" s="35" t="s">
        <v>24</v>
      </c>
      <c r="M89" s="38">
        <f t="shared" si="1"/>
        <v>806</v>
      </c>
    </row>
    <row r="90" ht="15.75" spans="1:13">
      <c r="A90" s="35" t="s">
        <v>131</v>
      </c>
      <c r="B90" s="36">
        <v>46265</v>
      </c>
      <c r="C90" s="35" t="s">
        <v>26</v>
      </c>
      <c r="D90" s="35" t="s">
        <v>14</v>
      </c>
      <c r="E90" s="35" t="s">
        <v>15</v>
      </c>
      <c r="F90" s="35" t="s">
        <v>16</v>
      </c>
      <c r="G90" s="35" t="s">
        <v>29</v>
      </c>
      <c r="H90" s="35" t="s">
        <v>30</v>
      </c>
      <c r="I90" s="37">
        <v>13</v>
      </c>
      <c r="J90" s="38">
        <v>26</v>
      </c>
      <c r="K90" s="35" t="s">
        <v>20</v>
      </c>
      <c r="L90" s="35" t="s">
        <v>58</v>
      </c>
      <c r="M90" s="38">
        <f t="shared" si="1"/>
        <v>338</v>
      </c>
    </row>
    <row r="91" ht="15.75" spans="1:13">
      <c r="A91" s="35" t="s">
        <v>132</v>
      </c>
      <c r="B91" s="36">
        <v>46228</v>
      </c>
      <c r="C91" s="35" t="s">
        <v>26</v>
      </c>
      <c r="D91" s="35" t="s">
        <v>37</v>
      </c>
      <c r="E91" s="35" t="s">
        <v>33</v>
      </c>
      <c r="F91" s="35" t="s">
        <v>16</v>
      </c>
      <c r="G91" s="35" t="s">
        <v>23</v>
      </c>
      <c r="H91" s="35" t="s">
        <v>18</v>
      </c>
      <c r="I91" s="37">
        <v>20</v>
      </c>
      <c r="J91" s="38">
        <v>175</v>
      </c>
      <c r="K91" s="35" t="s">
        <v>19</v>
      </c>
      <c r="L91" s="35" t="s">
        <v>24</v>
      </c>
      <c r="M91" s="38">
        <f t="shared" si="1"/>
        <v>3500</v>
      </c>
    </row>
    <row r="92" ht="15.75" spans="1:13">
      <c r="A92" s="35" t="s">
        <v>133</v>
      </c>
      <c r="B92" s="36">
        <v>46210</v>
      </c>
      <c r="C92" s="35" t="s">
        <v>26</v>
      </c>
      <c r="D92" s="35" t="s">
        <v>39</v>
      </c>
      <c r="E92" s="35" t="s">
        <v>15</v>
      </c>
      <c r="F92" s="35" t="s">
        <v>40</v>
      </c>
      <c r="G92" s="35" t="s">
        <v>29</v>
      </c>
      <c r="H92" s="35" t="s">
        <v>30</v>
      </c>
      <c r="I92" s="37">
        <v>10</v>
      </c>
      <c r="J92" s="38">
        <v>26</v>
      </c>
      <c r="K92" s="35" t="s">
        <v>19</v>
      </c>
      <c r="L92" s="35" t="s">
        <v>24</v>
      </c>
      <c r="M92" s="38">
        <f t="shared" si="1"/>
        <v>260</v>
      </c>
    </row>
    <row r="93" ht="15.75" spans="1:13">
      <c r="A93" s="35" t="s">
        <v>134</v>
      </c>
      <c r="B93" s="36">
        <v>46264</v>
      </c>
      <c r="C93" s="35" t="s">
        <v>52</v>
      </c>
      <c r="D93" s="35" t="s">
        <v>42</v>
      </c>
      <c r="E93" s="35" t="s">
        <v>15</v>
      </c>
      <c r="F93" s="35" t="s">
        <v>40</v>
      </c>
      <c r="G93" s="35" t="s">
        <v>17</v>
      </c>
      <c r="H93" s="35" t="s">
        <v>18</v>
      </c>
      <c r="I93" s="37">
        <v>2</v>
      </c>
      <c r="J93" s="38">
        <v>260</v>
      </c>
      <c r="K93" s="35" t="s">
        <v>19</v>
      </c>
      <c r="L93" s="35" t="s">
        <v>24</v>
      </c>
      <c r="M93" s="38">
        <f t="shared" si="1"/>
        <v>520</v>
      </c>
    </row>
    <row r="94" ht="15.75" spans="1:13">
      <c r="A94" s="35" t="s">
        <v>135</v>
      </c>
      <c r="B94" s="36">
        <v>46212</v>
      </c>
      <c r="C94" s="35" t="s">
        <v>52</v>
      </c>
      <c r="D94" s="35" t="s">
        <v>39</v>
      </c>
      <c r="E94" s="35" t="s">
        <v>15</v>
      </c>
      <c r="F94" s="35" t="s">
        <v>40</v>
      </c>
      <c r="G94" s="35" t="s">
        <v>49</v>
      </c>
      <c r="H94" s="35" t="s">
        <v>18</v>
      </c>
      <c r="I94" s="37">
        <v>32</v>
      </c>
      <c r="J94" s="38">
        <v>145</v>
      </c>
      <c r="K94" s="35" t="s">
        <v>19</v>
      </c>
      <c r="L94" s="35" t="s">
        <v>24</v>
      </c>
      <c r="M94" s="38">
        <f t="shared" si="1"/>
        <v>4640</v>
      </c>
    </row>
    <row r="95" ht="15.75" spans="1:13">
      <c r="A95" s="35" t="s">
        <v>136</v>
      </c>
      <c r="B95" s="36">
        <v>46242</v>
      </c>
      <c r="C95" s="35" t="s">
        <v>13</v>
      </c>
      <c r="D95" s="35" t="s">
        <v>39</v>
      </c>
      <c r="E95" s="35" t="s">
        <v>15</v>
      </c>
      <c r="F95" s="35" t="s">
        <v>40</v>
      </c>
      <c r="G95" s="35" t="s">
        <v>45</v>
      </c>
      <c r="H95" s="35" t="s">
        <v>18</v>
      </c>
      <c r="I95" s="37">
        <v>11</v>
      </c>
      <c r="J95" s="38">
        <v>185</v>
      </c>
      <c r="K95" s="35" t="s">
        <v>20</v>
      </c>
      <c r="L95" s="35" t="s">
        <v>24</v>
      </c>
      <c r="M95" s="38">
        <f t="shared" si="1"/>
        <v>2035</v>
      </c>
    </row>
    <row r="96" ht="15.75" spans="1:13">
      <c r="A96" s="35" t="s">
        <v>137</v>
      </c>
      <c r="B96" s="36">
        <v>46252</v>
      </c>
      <c r="C96" s="35" t="s">
        <v>52</v>
      </c>
      <c r="D96" s="35" t="s">
        <v>47</v>
      </c>
      <c r="E96" s="35" t="s">
        <v>48</v>
      </c>
      <c r="F96" s="35" t="s">
        <v>16</v>
      </c>
      <c r="G96" s="35" t="s">
        <v>23</v>
      </c>
      <c r="H96" s="35" t="s">
        <v>18</v>
      </c>
      <c r="I96" s="37">
        <v>16</v>
      </c>
      <c r="J96" s="38">
        <v>175</v>
      </c>
      <c r="K96" s="35" t="s">
        <v>20</v>
      </c>
      <c r="L96" s="35" t="s">
        <v>24</v>
      </c>
      <c r="M96" s="38">
        <f t="shared" si="1"/>
        <v>2800</v>
      </c>
    </row>
    <row r="97" ht="15.75" spans="1:13">
      <c r="A97" s="35" t="s">
        <v>138</v>
      </c>
      <c r="B97" s="36">
        <v>46211</v>
      </c>
      <c r="C97" s="35" t="s">
        <v>13</v>
      </c>
      <c r="D97" s="35" t="s">
        <v>53</v>
      </c>
      <c r="E97" s="35" t="s">
        <v>48</v>
      </c>
      <c r="F97" s="35" t="s">
        <v>28</v>
      </c>
      <c r="G97" s="35" t="s">
        <v>35</v>
      </c>
      <c r="H97" s="35" t="s">
        <v>30</v>
      </c>
      <c r="I97" s="37">
        <v>21</v>
      </c>
      <c r="J97" s="38">
        <v>210</v>
      </c>
      <c r="K97" s="35" t="s">
        <v>20</v>
      </c>
      <c r="L97" s="35" t="s">
        <v>24</v>
      </c>
      <c r="M97" s="38">
        <f t="shared" si="1"/>
        <v>4410</v>
      </c>
    </row>
    <row r="98" ht="15.75" spans="1:13">
      <c r="A98" s="35" t="s">
        <v>139</v>
      </c>
      <c r="B98" s="36">
        <v>46226</v>
      </c>
      <c r="C98" s="35" t="s">
        <v>13</v>
      </c>
      <c r="D98" s="35" t="s">
        <v>27</v>
      </c>
      <c r="E98" s="35" t="s">
        <v>15</v>
      </c>
      <c r="F98" s="35" t="s">
        <v>28</v>
      </c>
      <c r="G98" s="35" t="s">
        <v>49</v>
      </c>
      <c r="H98" s="35" t="s">
        <v>18</v>
      </c>
      <c r="I98" s="37">
        <v>7</v>
      </c>
      <c r="J98" s="38">
        <v>145</v>
      </c>
      <c r="K98" s="35" t="s">
        <v>19</v>
      </c>
      <c r="L98" s="35" t="s">
        <v>24</v>
      </c>
      <c r="M98" s="38">
        <f t="shared" si="1"/>
        <v>1015</v>
      </c>
    </row>
    <row r="99" ht="15.75" spans="1:13">
      <c r="A99" s="35" t="s">
        <v>140</v>
      </c>
      <c r="B99" s="36">
        <v>46294</v>
      </c>
      <c r="C99" s="35" t="s">
        <v>26</v>
      </c>
      <c r="D99" s="35" t="s">
        <v>53</v>
      </c>
      <c r="E99" s="35" t="s">
        <v>48</v>
      </c>
      <c r="F99" s="35" t="s">
        <v>28</v>
      </c>
      <c r="G99" s="35" t="s">
        <v>35</v>
      </c>
      <c r="H99" s="35" t="s">
        <v>30</v>
      </c>
      <c r="I99" s="37">
        <v>54</v>
      </c>
      <c r="J99" s="38">
        <v>210</v>
      </c>
      <c r="K99" s="35" t="s">
        <v>19</v>
      </c>
      <c r="L99" s="35" t="s">
        <v>24</v>
      </c>
      <c r="M99" s="38">
        <f t="shared" si="1"/>
        <v>11340</v>
      </c>
    </row>
    <row r="100" ht="15.75" spans="1:13">
      <c r="A100" s="35" t="s">
        <v>141</v>
      </c>
      <c r="B100" s="36">
        <v>46273</v>
      </c>
      <c r="C100" s="35" t="s">
        <v>22</v>
      </c>
      <c r="D100" s="35" t="s">
        <v>27</v>
      </c>
      <c r="E100" s="35" t="s">
        <v>15</v>
      </c>
      <c r="F100" s="35" t="s">
        <v>28</v>
      </c>
      <c r="G100" s="35" t="s">
        <v>49</v>
      </c>
      <c r="H100" s="35" t="s">
        <v>18</v>
      </c>
      <c r="I100" s="37">
        <v>14</v>
      </c>
      <c r="J100" s="38">
        <v>145</v>
      </c>
      <c r="K100" s="35" t="s">
        <v>19</v>
      </c>
      <c r="L100" s="35" t="s">
        <v>58</v>
      </c>
      <c r="M100" s="38">
        <f t="shared" si="1"/>
        <v>2030</v>
      </c>
    </row>
    <row r="101" ht="15.75" spans="1:13">
      <c r="A101" s="35" t="s">
        <v>142</v>
      </c>
      <c r="B101" s="36">
        <v>46243</v>
      </c>
      <c r="C101" s="35" t="s">
        <v>26</v>
      </c>
      <c r="D101" s="35" t="s">
        <v>32</v>
      </c>
      <c r="E101" s="35" t="s">
        <v>33</v>
      </c>
      <c r="F101" s="35" t="s">
        <v>16</v>
      </c>
      <c r="G101" s="35" t="s">
        <v>17</v>
      </c>
      <c r="H101" s="35" t="s">
        <v>18</v>
      </c>
      <c r="I101" s="37">
        <v>5</v>
      </c>
      <c r="J101" s="38">
        <v>260</v>
      </c>
      <c r="K101" s="35" t="s">
        <v>19</v>
      </c>
      <c r="L101" s="35" t="s">
        <v>24</v>
      </c>
      <c r="M101" s="38">
        <f t="shared" si="1"/>
        <v>1300</v>
      </c>
    </row>
    <row r="102" ht="15.75" spans="1:13">
      <c r="A102" s="35" t="s">
        <v>143</v>
      </c>
      <c r="B102" s="36">
        <v>46268</v>
      </c>
      <c r="C102" s="35" t="s">
        <v>52</v>
      </c>
      <c r="D102" s="35" t="s">
        <v>57</v>
      </c>
      <c r="E102" s="35" t="s">
        <v>15</v>
      </c>
      <c r="F102" s="35" t="s">
        <v>40</v>
      </c>
      <c r="G102" s="35" t="s">
        <v>29</v>
      </c>
      <c r="H102" s="35" t="s">
        <v>30</v>
      </c>
      <c r="I102" s="37">
        <v>27</v>
      </c>
      <c r="J102" s="38">
        <v>26</v>
      </c>
      <c r="K102" s="35" t="s">
        <v>19</v>
      </c>
      <c r="L102" s="35" t="s">
        <v>24</v>
      </c>
      <c r="M102" s="38">
        <f t="shared" si="1"/>
        <v>702</v>
      </c>
    </row>
    <row r="103" ht="15.75" spans="1:13">
      <c r="A103" s="35" t="s">
        <v>144</v>
      </c>
      <c r="B103" s="36">
        <v>46207</v>
      </c>
      <c r="C103" s="35" t="s">
        <v>13</v>
      </c>
      <c r="D103" s="35" t="s">
        <v>47</v>
      </c>
      <c r="E103" s="35" t="s">
        <v>48</v>
      </c>
      <c r="F103" s="35" t="s">
        <v>16</v>
      </c>
      <c r="G103" s="35" t="s">
        <v>29</v>
      </c>
      <c r="H103" s="35" t="s">
        <v>30</v>
      </c>
      <c r="I103" s="37">
        <v>22</v>
      </c>
      <c r="J103" s="38">
        <v>26</v>
      </c>
      <c r="K103" s="35" t="s">
        <v>19</v>
      </c>
      <c r="L103" s="35" t="s">
        <v>24</v>
      </c>
      <c r="M103" s="38">
        <f t="shared" si="1"/>
        <v>572</v>
      </c>
    </row>
    <row r="104" ht="15.75" spans="1:13">
      <c r="A104" s="35" t="s">
        <v>145</v>
      </c>
      <c r="B104" s="36">
        <v>46290</v>
      </c>
      <c r="C104" s="35" t="s">
        <v>26</v>
      </c>
      <c r="D104" s="35" t="s">
        <v>53</v>
      </c>
      <c r="E104" s="35" t="s">
        <v>48</v>
      </c>
      <c r="F104" s="35" t="s">
        <v>28</v>
      </c>
      <c r="G104" s="35" t="s">
        <v>23</v>
      </c>
      <c r="H104" s="35" t="s">
        <v>18</v>
      </c>
      <c r="I104" s="37">
        <v>3</v>
      </c>
      <c r="J104" s="38">
        <v>175</v>
      </c>
      <c r="K104" s="35" t="s">
        <v>19</v>
      </c>
      <c r="L104" s="35" t="s">
        <v>20</v>
      </c>
      <c r="M104" s="38">
        <f t="shared" si="1"/>
        <v>525</v>
      </c>
    </row>
    <row r="105" ht="15.75" spans="1:13">
      <c r="A105" s="35" t="s">
        <v>146</v>
      </c>
      <c r="B105" s="36">
        <v>46239</v>
      </c>
      <c r="C105" s="35" t="s">
        <v>22</v>
      </c>
      <c r="D105" s="35" t="s">
        <v>32</v>
      </c>
      <c r="E105" s="35" t="s">
        <v>33</v>
      </c>
      <c r="F105" s="35" t="s">
        <v>16</v>
      </c>
      <c r="G105" s="35" t="s">
        <v>35</v>
      </c>
      <c r="H105" s="35" t="s">
        <v>30</v>
      </c>
      <c r="I105" s="37">
        <v>35</v>
      </c>
      <c r="J105" s="38">
        <v>210</v>
      </c>
      <c r="K105" s="35" t="s">
        <v>20</v>
      </c>
      <c r="L105" s="35" t="s">
        <v>24</v>
      </c>
      <c r="M105" s="38">
        <f t="shared" si="1"/>
        <v>7350</v>
      </c>
    </row>
    <row r="106" ht="15.75" spans="1:13">
      <c r="A106" s="35" t="s">
        <v>147</v>
      </c>
      <c r="B106" s="36">
        <v>46246</v>
      </c>
      <c r="C106" s="35" t="s">
        <v>26</v>
      </c>
      <c r="D106" s="35" t="s">
        <v>42</v>
      </c>
      <c r="E106" s="35" t="s">
        <v>15</v>
      </c>
      <c r="F106" s="35" t="s">
        <v>40</v>
      </c>
      <c r="G106" s="35" t="s">
        <v>17</v>
      </c>
      <c r="H106" s="35" t="s">
        <v>18</v>
      </c>
      <c r="I106" s="37">
        <v>32</v>
      </c>
      <c r="J106" s="38">
        <v>260</v>
      </c>
      <c r="K106" s="35" t="s">
        <v>19</v>
      </c>
      <c r="L106" s="35" t="s">
        <v>20</v>
      </c>
      <c r="M106" s="38">
        <f t="shared" si="1"/>
        <v>8320</v>
      </c>
    </row>
    <row r="107" ht="15.75" spans="1:13">
      <c r="A107" s="35" t="s">
        <v>148</v>
      </c>
      <c r="B107" s="36">
        <v>46255</v>
      </c>
      <c r="C107" s="35" t="s">
        <v>13</v>
      </c>
      <c r="D107" s="35" t="s">
        <v>78</v>
      </c>
      <c r="E107" s="35" t="s">
        <v>48</v>
      </c>
      <c r="F107" s="35" t="s">
        <v>28</v>
      </c>
      <c r="G107" s="35" t="s">
        <v>35</v>
      </c>
      <c r="H107" s="35" t="s">
        <v>30</v>
      </c>
      <c r="I107" s="37">
        <v>33</v>
      </c>
      <c r="J107" s="38">
        <v>210</v>
      </c>
      <c r="K107" s="35" t="s">
        <v>19</v>
      </c>
      <c r="L107" s="35" t="s">
        <v>24</v>
      </c>
      <c r="M107" s="38">
        <f t="shared" si="1"/>
        <v>6930</v>
      </c>
    </row>
    <row r="108" ht="15.75" spans="1:13">
      <c r="A108" s="35" t="s">
        <v>149</v>
      </c>
      <c r="B108" s="36">
        <v>46204</v>
      </c>
      <c r="C108" s="35" t="s">
        <v>52</v>
      </c>
      <c r="D108" s="35" t="s">
        <v>78</v>
      </c>
      <c r="E108" s="35" t="s">
        <v>48</v>
      </c>
      <c r="F108" s="35" t="s">
        <v>28</v>
      </c>
      <c r="G108" s="35" t="s">
        <v>17</v>
      </c>
      <c r="H108" s="35" t="s">
        <v>18</v>
      </c>
      <c r="I108" s="37">
        <v>27</v>
      </c>
      <c r="J108" s="38">
        <v>260</v>
      </c>
      <c r="K108" s="35" t="s">
        <v>19</v>
      </c>
      <c r="L108" s="35" t="s">
        <v>24</v>
      </c>
      <c r="M108" s="38">
        <f t="shared" si="1"/>
        <v>7020</v>
      </c>
    </row>
    <row r="109" ht="15.75" spans="1:13">
      <c r="A109" s="35" t="s">
        <v>150</v>
      </c>
      <c r="B109" s="36">
        <v>46210</v>
      </c>
      <c r="C109" s="35" t="s">
        <v>22</v>
      </c>
      <c r="D109" s="35" t="s">
        <v>78</v>
      </c>
      <c r="E109" s="35" t="s">
        <v>48</v>
      </c>
      <c r="F109" s="35" t="s">
        <v>28</v>
      </c>
      <c r="G109" s="35" t="s">
        <v>23</v>
      </c>
      <c r="H109" s="35" t="s">
        <v>18</v>
      </c>
      <c r="I109" s="37">
        <v>33</v>
      </c>
      <c r="J109" s="38">
        <v>175</v>
      </c>
      <c r="K109" s="35" t="s">
        <v>19</v>
      </c>
      <c r="L109" s="35" t="s">
        <v>24</v>
      </c>
      <c r="M109" s="38">
        <f t="shared" si="1"/>
        <v>5775</v>
      </c>
    </row>
    <row r="110" ht="15.75" spans="1:13">
      <c r="A110" s="35" t="s">
        <v>151</v>
      </c>
      <c r="B110" s="36">
        <v>46284</v>
      </c>
      <c r="C110" s="35" t="s">
        <v>22</v>
      </c>
      <c r="D110" s="35" t="s">
        <v>57</v>
      </c>
      <c r="E110" s="35" t="s">
        <v>15</v>
      </c>
      <c r="F110" s="35" t="s">
        <v>40</v>
      </c>
      <c r="G110" s="35" t="s">
        <v>35</v>
      </c>
      <c r="H110" s="35" t="s">
        <v>30</v>
      </c>
      <c r="I110" s="37">
        <v>33</v>
      </c>
      <c r="J110" s="38">
        <v>210</v>
      </c>
      <c r="K110" s="35" t="s">
        <v>19</v>
      </c>
      <c r="L110" s="35" t="s">
        <v>24</v>
      </c>
      <c r="M110" s="38">
        <f t="shared" si="1"/>
        <v>6930</v>
      </c>
    </row>
    <row r="111" ht="15.75" spans="1:13">
      <c r="A111" s="35" t="s">
        <v>152</v>
      </c>
      <c r="B111" s="36">
        <v>46218</v>
      </c>
      <c r="C111" s="35" t="s">
        <v>52</v>
      </c>
      <c r="D111" s="35" t="s">
        <v>39</v>
      </c>
      <c r="E111" s="35" t="s">
        <v>15</v>
      </c>
      <c r="F111" s="35" t="s">
        <v>40</v>
      </c>
      <c r="G111" s="35" t="s">
        <v>23</v>
      </c>
      <c r="H111" s="35" t="s">
        <v>18</v>
      </c>
      <c r="I111" s="37">
        <v>28</v>
      </c>
      <c r="J111" s="38">
        <v>175</v>
      </c>
      <c r="K111" s="35" t="s">
        <v>20</v>
      </c>
      <c r="L111" s="35" t="s">
        <v>24</v>
      </c>
      <c r="M111" s="38">
        <f t="shared" si="1"/>
        <v>4900</v>
      </c>
    </row>
    <row r="112" ht="15.75" spans="1:13">
      <c r="A112" s="35" t="s">
        <v>153</v>
      </c>
      <c r="B112" s="36">
        <v>46238</v>
      </c>
      <c r="C112" s="35" t="s">
        <v>52</v>
      </c>
      <c r="D112" s="35" t="s">
        <v>32</v>
      </c>
      <c r="E112" s="35" t="s">
        <v>33</v>
      </c>
      <c r="F112" s="35" t="s">
        <v>16</v>
      </c>
      <c r="G112" s="35" t="s">
        <v>35</v>
      </c>
      <c r="H112" s="35" t="s">
        <v>30</v>
      </c>
      <c r="I112" s="37">
        <v>20</v>
      </c>
      <c r="J112" s="38">
        <v>210</v>
      </c>
      <c r="K112" s="35" t="s">
        <v>20</v>
      </c>
      <c r="L112" s="35" t="s">
        <v>58</v>
      </c>
      <c r="M112" s="38">
        <f t="shared" si="1"/>
        <v>4200</v>
      </c>
    </row>
    <row r="113" ht="15.75" spans="1:13">
      <c r="A113" s="35" t="s">
        <v>154</v>
      </c>
      <c r="B113" s="36">
        <v>46280</v>
      </c>
      <c r="C113" s="35" t="s">
        <v>22</v>
      </c>
      <c r="D113" s="35" t="s">
        <v>27</v>
      </c>
      <c r="E113" s="35" t="s">
        <v>15</v>
      </c>
      <c r="F113" s="35" t="s">
        <v>28</v>
      </c>
      <c r="G113" s="35" t="s">
        <v>35</v>
      </c>
      <c r="H113" s="35" t="s">
        <v>30</v>
      </c>
      <c r="I113" s="37">
        <v>11</v>
      </c>
      <c r="J113" s="38">
        <v>210</v>
      </c>
      <c r="K113" s="35" t="s">
        <v>20</v>
      </c>
      <c r="L113" s="35" t="s">
        <v>24</v>
      </c>
      <c r="M113" s="38">
        <f t="shared" si="1"/>
        <v>2310</v>
      </c>
    </row>
    <row r="114" ht="15.75" spans="1:13">
      <c r="A114" s="35" t="s">
        <v>155</v>
      </c>
      <c r="B114" s="36">
        <v>46204</v>
      </c>
      <c r="C114" s="35" t="s">
        <v>26</v>
      </c>
      <c r="D114" s="35" t="s">
        <v>47</v>
      </c>
      <c r="E114" s="35" t="s">
        <v>48</v>
      </c>
      <c r="F114" s="35" t="s">
        <v>16</v>
      </c>
      <c r="G114" s="35" t="s">
        <v>49</v>
      </c>
      <c r="H114" s="35" t="s">
        <v>18</v>
      </c>
      <c r="I114" s="37">
        <v>34</v>
      </c>
      <c r="J114" s="38">
        <v>145</v>
      </c>
      <c r="K114" s="35" t="s">
        <v>20</v>
      </c>
      <c r="L114" s="35" t="s">
        <v>20</v>
      </c>
      <c r="M114" s="38">
        <f t="shared" si="1"/>
        <v>4930</v>
      </c>
    </row>
    <row r="115" ht="15.75" spans="1:13">
      <c r="A115" s="35" t="s">
        <v>156</v>
      </c>
      <c r="B115" s="36">
        <v>46261</v>
      </c>
      <c r="C115" s="35" t="s">
        <v>52</v>
      </c>
      <c r="D115" s="35" t="s">
        <v>53</v>
      </c>
      <c r="E115" s="35" t="s">
        <v>48</v>
      </c>
      <c r="F115" s="35" t="s">
        <v>28</v>
      </c>
      <c r="G115" s="35" t="s">
        <v>29</v>
      </c>
      <c r="H115" s="35" t="s">
        <v>30</v>
      </c>
      <c r="I115" s="37">
        <v>33</v>
      </c>
      <c r="J115" s="38">
        <v>26</v>
      </c>
      <c r="K115" s="35" t="s">
        <v>19</v>
      </c>
      <c r="L115" s="35" t="s">
        <v>24</v>
      </c>
      <c r="M115" s="38">
        <f t="shared" si="1"/>
        <v>858</v>
      </c>
    </row>
    <row r="116" ht="15.75" spans="1:13">
      <c r="A116" s="35" t="s">
        <v>157</v>
      </c>
      <c r="B116" s="36">
        <v>46228</v>
      </c>
      <c r="C116" s="35" t="s">
        <v>22</v>
      </c>
      <c r="D116" s="35" t="s">
        <v>37</v>
      </c>
      <c r="E116" s="35" t="s">
        <v>33</v>
      </c>
      <c r="F116" s="35" t="s">
        <v>16</v>
      </c>
      <c r="G116" s="35" t="s">
        <v>35</v>
      </c>
      <c r="H116" s="35" t="s">
        <v>30</v>
      </c>
      <c r="I116" s="37">
        <v>31</v>
      </c>
      <c r="J116" s="38">
        <v>210</v>
      </c>
      <c r="K116" s="35" t="s">
        <v>19</v>
      </c>
      <c r="L116" s="35" t="s">
        <v>24</v>
      </c>
      <c r="M116" s="38">
        <f t="shared" si="1"/>
        <v>6510</v>
      </c>
    </row>
    <row r="117" ht="15.75" spans="1:13">
      <c r="A117" s="35" t="s">
        <v>158</v>
      </c>
      <c r="B117" s="36">
        <v>46294</v>
      </c>
      <c r="C117" s="35" t="s">
        <v>52</v>
      </c>
      <c r="D117" s="35" t="s">
        <v>47</v>
      </c>
      <c r="E117" s="35" t="s">
        <v>48</v>
      </c>
      <c r="F117" s="35" t="s">
        <v>16</v>
      </c>
      <c r="G117" s="35" t="s">
        <v>17</v>
      </c>
      <c r="H117" s="35" t="s">
        <v>18</v>
      </c>
      <c r="I117" s="37">
        <v>22</v>
      </c>
      <c r="J117" s="38">
        <v>260</v>
      </c>
      <c r="K117" s="35" t="s">
        <v>19</v>
      </c>
      <c r="L117" s="35" t="s">
        <v>24</v>
      </c>
      <c r="M117" s="38">
        <f t="shared" si="1"/>
        <v>5720</v>
      </c>
    </row>
    <row r="118" ht="15.75" spans="1:13">
      <c r="A118" s="35" t="s">
        <v>159</v>
      </c>
      <c r="B118" s="36">
        <v>46279</v>
      </c>
      <c r="C118" s="35" t="s">
        <v>26</v>
      </c>
      <c r="D118" s="35" t="s">
        <v>32</v>
      </c>
      <c r="E118" s="35" t="s">
        <v>33</v>
      </c>
      <c r="F118" s="35" t="s">
        <v>16</v>
      </c>
      <c r="G118" s="35" t="s">
        <v>35</v>
      </c>
      <c r="H118" s="35" t="s">
        <v>30</v>
      </c>
      <c r="I118" s="37">
        <v>4</v>
      </c>
      <c r="J118" s="38">
        <v>210</v>
      </c>
      <c r="K118" s="35" t="s">
        <v>20</v>
      </c>
      <c r="L118" s="35" t="s">
        <v>20</v>
      </c>
      <c r="M118" s="38">
        <f t="shared" si="1"/>
        <v>840</v>
      </c>
    </row>
    <row r="119" ht="15.75" spans="1:13">
      <c r="A119" s="35" t="s">
        <v>160</v>
      </c>
      <c r="B119" s="36">
        <v>46205</v>
      </c>
      <c r="C119" s="35" t="s">
        <v>22</v>
      </c>
      <c r="D119" s="35" t="s">
        <v>42</v>
      </c>
      <c r="E119" s="35" t="s">
        <v>15</v>
      </c>
      <c r="F119" s="35" t="s">
        <v>40</v>
      </c>
      <c r="G119" s="35" t="s">
        <v>17</v>
      </c>
      <c r="H119" s="35" t="s">
        <v>18</v>
      </c>
      <c r="I119" s="37">
        <v>35</v>
      </c>
      <c r="J119" s="38">
        <v>260</v>
      </c>
      <c r="K119" s="35" t="s">
        <v>19</v>
      </c>
      <c r="L119" s="35" t="s">
        <v>24</v>
      </c>
      <c r="M119" s="38">
        <f t="shared" si="1"/>
        <v>9100</v>
      </c>
    </row>
    <row r="120" ht="15.75" spans="1:13">
      <c r="A120" s="35" t="s">
        <v>161</v>
      </c>
      <c r="B120" s="36">
        <v>46237</v>
      </c>
      <c r="C120" s="35" t="s">
        <v>26</v>
      </c>
      <c r="D120" s="35" t="s">
        <v>32</v>
      </c>
      <c r="E120" s="35" t="s">
        <v>33</v>
      </c>
      <c r="F120" s="35" t="s">
        <v>16</v>
      </c>
      <c r="G120" s="35" t="s">
        <v>17</v>
      </c>
      <c r="H120" s="35" t="s">
        <v>18</v>
      </c>
      <c r="I120" s="37">
        <v>32</v>
      </c>
      <c r="J120" s="38">
        <v>260</v>
      </c>
      <c r="K120" s="35" t="s">
        <v>19</v>
      </c>
      <c r="L120" s="35" t="s">
        <v>24</v>
      </c>
      <c r="M120" s="38">
        <f t="shared" si="1"/>
        <v>8320</v>
      </c>
    </row>
    <row r="121" ht="15.75" spans="1:13">
      <c r="A121" s="35" t="s">
        <v>162</v>
      </c>
      <c r="B121" s="36">
        <v>46284</v>
      </c>
      <c r="C121" s="35" t="s">
        <v>52</v>
      </c>
      <c r="D121" s="35" t="s">
        <v>14</v>
      </c>
      <c r="E121" s="35" t="s">
        <v>15</v>
      </c>
      <c r="F121" s="35" t="s">
        <v>16</v>
      </c>
      <c r="G121" s="35" t="s">
        <v>49</v>
      </c>
      <c r="H121" s="35" t="s">
        <v>18</v>
      </c>
      <c r="I121" s="37">
        <v>26</v>
      </c>
      <c r="J121" s="38">
        <v>145</v>
      </c>
      <c r="K121" s="35" t="s">
        <v>20</v>
      </c>
      <c r="L121" s="35" t="s">
        <v>24</v>
      </c>
      <c r="M121" s="38">
        <f t="shared" si="1"/>
        <v>3770</v>
      </c>
    </row>
    <row r="122" ht="15.75" spans="1:13">
      <c r="A122" s="35" t="s">
        <v>163</v>
      </c>
      <c r="B122" s="36">
        <v>46215</v>
      </c>
      <c r="C122" s="35" t="s">
        <v>52</v>
      </c>
      <c r="D122" s="35" t="s">
        <v>14</v>
      </c>
      <c r="E122" s="35" t="s">
        <v>15</v>
      </c>
      <c r="F122" s="35" t="s">
        <v>16</v>
      </c>
      <c r="G122" s="35" t="s">
        <v>45</v>
      </c>
      <c r="H122" s="35" t="s">
        <v>18</v>
      </c>
      <c r="I122" s="37">
        <v>20</v>
      </c>
      <c r="J122" s="38">
        <v>185</v>
      </c>
      <c r="K122" s="35" t="s">
        <v>20</v>
      </c>
      <c r="L122" s="35" t="s">
        <v>20</v>
      </c>
      <c r="M122" s="38">
        <f t="shared" si="1"/>
        <v>3700</v>
      </c>
    </row>
    <row r="123" ht="15.75" spans="1:13">
      <c r="A123" s="35" t="s">
        <v>164</v>
      </c>
      <c r="B123" s="36">
        <v>46207</v>
      </c>
      <c r="C123" s="35" t="s">
        <v>13</v>
      </c>
      <c r="D123" s="35" t="s">
        <v>14</v>
      </c>
      <c r="E123" s="35" t="s">
        <v>15</v>
      </c>
      <c r="F123" s="35" t="s">
        <v>16</v>
      </c>
      <c r="G123" s="35" t="s">
        <v>35</v>
      </c>
      <c r="H123" s="35" t="s">
        <v>30</v>
      </c>
      <c r="I123" s="37">
        <v>12</v>
      </c>
      <c r="J123" s="38">
        <v>210</v>
      </c>
      <c r="K123" s="35" t="s">
        <v>19</v>
      </c>
      <c r="L123" s="35" t="s">
        <v>24</v>
      </c>
      <c r="M123" s="38">
        <f t="shared" si="1"/>
        <v>2520</v>
      </c>
    </row>
    <row r="124" ht="15.75" spans="1:13">
      <c r="A124" s="35" t="s">
        <v>165</v>
      </c>
      <c r="B124" s="36">
        <v>46271</v>
      </c>
      <c r="C124" s="35" t="s">
        <v>52</v>
      </c>
      <c r="D124" s="35" t="s">
        <v>78</v>
      </c>
      <c r="E124" s="35" t="s">
        <v>48</v>
      </c>
      <c r="F124" s="35" t="s">
        <v>28</v>
      </c>
      <c r="G124" s="35" t="s">
        <v>49</v>
      </c>
      <c r="H124" s="35" t="s">
        <v>18</v>
      </c>
      <c r="I124" s="37">
        <v>29</v>
      </c>
      <c r="J124" s="38">
        <v>145</v>
      </c>
      <c r="K124" s="35" t="s">
        <v>19</v>
      </c>
      <c r="L124" s="35" t="s">
        <v>20</v>
      </c>
      <c r="M124" s="38">
        <f t="shared" si="1"/>
        <v>4205</v>
      </c>
    </row>
    <row r="125" ht="15.75" spans="1:13">
      <c r="A125" s="35" t="s">
        <v>166</v>
      </c>
      <c r="B125" s="36">
        <v>46252</v>
      </c>
      <c r="C125" s="35" t="s">
        <v>22</v>
      </c>
      <c r="D125" s="35" t="s">
        <v>32</v>
      </c>
      <c r="E125" s="35" t="s">
        <v>33</v>
      </c>
      <c r="F125" s="35" t="s">
        <v>16</v>
      </c>
      <c r="G125" s="35" t="s">
        <v>45</v>
      </c>
      <c r="H125" s="35" t="s">
        <v>18</v>
      </c>
      <c r="I125" s="37">
        <v>7</v>
      </c>
      <c r="J125" s="38">
        <v>185</v>
      </c>
      <c r="K125" s="35" t="s">
        <v>19</v>
      </c>
      <c r="L125" s="35" t="s">
        <v>24</v>
      </c>
      <c r="M125" s="38">
        <f t="shared" si="1"/>
        <v>1295</v>
      </c>
    </row>
    <row r="126" ht="15.75" spans="1:13">
      <c r="A126" s="35" t="s">
        <v>167</v>
      </c>
      <c r="B126" s="36">
        <v>46289</v>
      </c>
      <c r="C126" s="35" t="s">
        <v>13</v>
      </c>
      <c r="D126" s="35" t="s">
        <v>27</v>
      </c>
      <c r="E126" s="35" t="s">
        <v>15</v>
      </c>
      <c r="F126" s="35" t="s">
        <v>28</v>
      </c>
      <c r="G126" s="35" t="s">
        <v>35</v>
      </c>
      <c r="H126" s="35" t="s">
        <v>30</v>
      </c>
      <c r="I126" s="37">
        <v>18</v>
      </c>
      <c r="J126" s="38">
        <v>210</v>
      </c>
      <c r="K126" s="35" t="s">
        <v>20</v>
      </c>
      <c r="L126" s="35" t="s">
        <v>24</v>
      </c>
      <c r="M126" s="38">
        <f t="shared" si="1"/>
        <v>3780</v>
      </c>
    </row>
    <row r="127" ht="15.75" spans="1:13">
      <c r="A127" s="35" t="s">
        <v>168</v>
      </c>
      <c r="B127" s="36">
        <v>46279</v>
      </c>
      <c r="C127" s="35" t="s">
        <v>26</v>
      </c>
      <c r="D127" s="35" t="s">
        <v>57</v>
      </c>
      <c r="E127" s="35" t="s">
        <v>15</v>
      </c>
      <c r="F127" s="35" t="s">
        <v>40</v>
      </c>
      <c r="G127" s="35" t="s">
        <v>29</v>
      </c>
      <c r="H127" s="35" t="s">
        <v>30</v>
      </c>
      <c r="I127" s="37">
        <v>58</v>
      </c>
      <c r="J127" s="38">
        <v>26</v>
      </c>
      <c r="K127" s="35" t="s">
        <v>19</v>
      </c>
      <c r="L127" s="35" t="s">
        <v>24</v>
      </c>
      <c r="M127" s="38">
        <f t="shared" si="1"/>
        <v>1508</v>
      </c>
    </row>
    <row r="128" ht="15.75" spans="1:13">
      <c r="A128" s="35" t="s">
        <v>169</v>
      </c>
      <c r="B128" s="36">
        <v>46253</v>
      </c>
      <c r="C128" s="35" t="s">
        <v>52</v>
      </c>
      <c r="D128" s="35" t="s">
        <v>57</v>
      </c>
      <c r="E128" s="35" t="s">
        <v>15</v>
      </c>
      <c r="F128" s="35" t="s">
        <v>40</v>
      </c>
      <c r="G128" s="35" t="s">
        <v>35</v>
      </c>
      <c r="H128" s="35" t="s">
        <v>30</v>
      </c>
      <c r="I128" s="37">
        <v>21</v>
      </c>
      <c r="J128" s="38">
        <v>210</v>
      </c>
      <c r="K128" s="35" t="s">
        <v>19</v>
      </c>
      <c r="L128" s="35" t="s">
        <v>24</v>
      </c>
      <c r="M128" s="38">
        <f t="shared" si="1"/>
        <v>4410</v>
      </c>
    </row>
    <row r="129" ht="15.75" spans="1:13">
      <c r="A129" s="35" t="s">
        <v>170</v>
      </c>
      <c r="B129" s="36">
        <v>46241</v>
      </c>
      <c r="C129" s="35" t="s">
        <v>13</v>
      </c>
      <c r="D129" s="35" t="s">
        <v>78</v>
      </c>
      <c r="E129" s="35" t="s">
        <v>48</v>
      </c>
      <c r="F129" s="35" t="s">
        <v>28</v>
      </c>
      <c r="G129" s="35" t="s">
        <v>23</v>
      </c>
      <c r="H129" s="35" t="s">
        <v>18</v>
      </c>
      <c r="I129" s="37">
        <v>20</v>
      </c>
      <c r="J129" s="38">
        <v>175</v>
      </c>
      <c r="K129" s="35" t="s">
        <v>20</v>
      </c>
      <c r="L129" s="35" t="s">
        <v>24</v>
      </c>
      <c r="M129" s="38">
        <f t="shared" si="1"/>
        <v>3500</v>
      </c>
    </row>
    <row r="130" ht="15.75" spans="1:13">
      <c r="A130" s="35" t="s">
        <v>171</v>
      </c>
      <c r="B130" s="36">
        <v>46267</v>
      </c>
      <c r="C130" s="35" t="s">
        <v>26</v>
      </c>
      <c r="D130" s="35" t="s">
        <v>57</v>
      </c>
      <c r="E130" s="35" t="s">
        <v>15</v>
      </c>
      <c r="F130" s="35" t="s">
        <v>40</v>
      </c>
      <c r="G130" s="35" t="s">
        <v>17</v>
      </c>
      <c r="H130" s="35" t="s">
        <v>18</v>
      </c>
      <c r="I130" s="37">
        <v>5</v>
      </c>
      <c r="J130" s="38">
        <v>260</v>
      </c>
      <c r="K130" s="35" t="s">
        <v>20</v>
      </c>
      <c r="L130" s="35" t="s">
        <v>24</v>
      </c>
      <c r="M130" s="38">
        <f t="shared" si="1"/>
        <v>1300</v>
      </c>
    </row>
    <row r="131" ht="15.75" spans="1:13">
      <c r="A131" s="35" t="s">
        <v>172</v>
      </c>
      <c r="B131" s="36">
        <v>46290</v>
      </c>
      <c r="C131" s="35" t="s">
        <v>22</v>
      </c>
      <c r="D131" s="35" t="s">
        <v>78</v>
      </c>
      <c r="E131" s="35" t="s">
        <v>48</v>
      </c>
      <c r="F131" s="35" t="s">
        <v>28</v>
      </c>
      <c r="G131" s="35" t="s">
        <v>45</v>
      </c>
      <c r="H131" s="35" t="s">
        <v>18</v>
      </c>
      <c r="I131" s="37">
        <v>14</v>
      </c>
      <c r="J131" s="38">
        <v>185</v>
      </c>
      <c r="K131" s="35" t="s">
        <v>19</v>
      </c>
      <c r="L131" s="35" t="s">
        <v>58</v>
      </c>
      <c r="M131" s="38">
        <f t="shared" ref="M131:M194" si="2">I131*J131</f>
        <v>2590</v>
      </c>
    </row>
    <row r="132" ht="15.75" spans="1:13">
      <c r="A132" s="35" t="s">
        <v>173</v>
      </c>
      <c r="B132" s="36">
        <v>46220</v>
      </c>
      <c r="C132" s="35" t="s">
        <v>13</v>
      </c>
      <c r="D132" s="35" t="s">
        <v>39</v>
      </c>
      <c r="E132" s="35" t="s">
        <v>15</v>
      </c>
      <c r="F132" s="35" t="s">
        <v>40</v>
      </c>
      <c r="G132" s="35" t="s">
        <v>49</v>
      </c>
      <c r="H132" s="35" t="s">
        <v>18</v>
      </c>
      <c r="I132" s="37">
        <v>59</v>
      </c>
      <c r="J132" s="38">
        <v>145</v>
      </c>
      <c r="K132" s="35" t="s">
        <v>20</v>
      </c>
      <c r="L132" s="35" t="s">
        <v>24</v>
      </c>
      <c r="M132" s="38">
        <f t="shared" si="2"/>
        <v>8555</v>
      </c>
    </row>
    <row r="133" ht="15.75" spans="1:13">
      <c r="A133" s="35" t="s">
        <v>174</v>
      </c>
      <c r="B133" s="36">
        <v>46273</v>
      </c>
      <c r="C133" s="35" t="s">
        <v>26</v>
      </c>
      <c r="D133" s="35" t="s">
        <v>47</v>
      </c>
      <c r="E133" s="35" t="s">
        <v>48</v>
      </c>
      <c r="F133" s="35" t="s">
        <v>16</v>
      </c>
      <c r="G133" s="35" t="s">
        <v>45</v>
      </c>
      <c r="H133" s="35" t="s">
        <v>18</v>
      </c>
      <c r="I133" s="37">
        <v>14</v>
      </c>
      <c r="J133" s="38">
        <v>185</v>
      </c>
      <c r="K133" s="35" t="s">
        <v>19</v>
      </c>
      <c r="L133" s="35" t="s">
        <v>58</v>
      </c>
      <c r="M133" s="38">
        <f t="shared" si="2"/>
        <v>2590</v>
      </c>
    </row>
    <row r="134" ht="15.75" spans="1:13">
      <c r="A134" s="35" t="s">
        <v>175</v>
      </c>
      <c r="B134" s="36">
        <v>46241</v>
      </c>
      <c r="C134" s="35" t="s">
        <v>26</v>
      </c>
      <c r="D134" s="35" t="s">
        <v>32</v>
      </c>
      <c r="E134" s="35" t="s">
        <v>33</v>
      </c>
      <c r="F134" s="35" t="s">
        <v>16</v>
      </c>
      <c r="G134" s="35" t="s">
        <v>49</v>
      </c>
      <c r="H134" s="35" t="s">
        <v>18</v>
      </c>
      <c r="I134" s="37">
        <v>32</v>
      </c>
      <c r="J134" s="38">
        <v>145</v>
      </c>
      <c r="K134" s="35" t="s">
        <v>20</v>
      </c>
      <c r="L134" s="35" t="s">
        <v>24</v>
      </c>
      <c r="M134" s="38">
        <f t="shared" si="2"/>
        <v>4640</v>
      </c>
    </row>
    <row r="135" ht="15.75" spans="1:13">
      <c r="A135" s="35" t="s">
        <v>176</v>
      </c>
      <c r="B135" s="36">
        <v>46290</v>
      </c>
      <c r="C135" s="35" t="s">
        <v>52</v>
      </c>
      <c r="D135" s="35" t="s">
        <v>14</v>
      </c>
      <c r="E135" s="35" t="s">
        <v>15</v>
      </c>
      <c r="F135" s="35" t="s">
        <v>16</v>
      </c>
      <c r="G135" s="35" t="s">
        <v>45</v>
      </c>
      <c r="H135" s="35" t="s">
        <v>18</v>
      </c>
      <c r="I135" s="37">
        <v>16</v>
      </c>
      <c r="J135" s="38">
        <v>185</v>
      </c>
      <c r="K135" s="35" t="s">
        <v>20</v>
      </c>
      <c r="L135" s="35" t="s">
        <v>20</v>
      </c>
      <c r="M135" s="38">
        <f t="shared" si="2"/>
        <v>2960</v>
      </c>
    </row>
    <row r="136" ht="15.75" spans="1:13">
      <c r="A136" s="35" t="s">
        <v>177</v>
      </c>
      <c r="B136" s="36">
        <v>46219</v>
      </c>
      <c r="C136" s="35" t="s">
        <v>52</v>
      </c>
      <c r="D136" s="35" t="s">
        <v>78</v>
      </c>
      <c r="E136" s="35" t="s">
        <v>48</v>
      </c>
      <c r="F136" s="35" t="s">
        <v>28</v>
      </c>
      <c r="G136" s="35" t="s">
        <v>17</v>
      </c>
      <c r="H136" s="35" t="s">
        <v>18</v>
      </c>
      <c r="I136" s="37">
        <v>70</v>
      </c>
      <c r="J136" s="38">
        <v>260</v>
      </c>
      <c r="K136" s="35" t="s">
        <v>19</v>
      </c>
      <c r="L136" s="35" t="s">
        <v>20</v>
      </c>
      <c r="M136" s="38">
        <f t="shared" si="2"/>
        <v>18200</v>
      </c>
    </row>
    <row r="137" ht="15.75" spans="1:13">
      <c r="A137" s="35" t="s">
        <v>178</v>
      </c>
      <c r="B137" s="36">
        <v>46251</v>
      </c>
      <c r="C137" s="35" t="s">
        <v>13</v>
      </c>
      <c r="D137" s="35" t="s">
        <v>57</v>
      </c>
      <c r="E137" s="35" t="s">
        <v>15</v>
      </c>
      <c r="F137" s="35" t="s">
        <v>40</v>
      </c>
      <c r="G137" s="35" t="s">
        <v>23</v>
      </c>
      <c r="H137" s="35" t="s">
        <v>18</v>
      </c>
      <c r="I137" s="37">
        <v>26</v>
      </c>
      <c r="J137" s="38">
        <v>175</v>
      </c>
      <c r="K137" s="35" t="s">
        <v>19</v>
      </c>
      <c r="L137" s="35" t="s">
        <v>24</v>
      </c>
      <c r="M137" s="38">
        <f t="shared" si="2"/>
        <v>4550</v>
      </c>
    </row>
    <row r="138" ht="15.75" spans="1:13">
      <c r="A138" s="35" t="s">
        <v>179</v>
      </c>
      <c r="B138" s="36">
        <v>46232</v>
      </c>
      <c r="C138" s="35" t="s">
        <v>13</v>
      </c>
      <c r="D138" s="35" t="s">
        <v>53</v>
      </c>
      <c r="E138" s="35" t="s">
        <v>48</v>
      </c>
      <c r="F138" s="35" t="s">
        <v>28</v>
      </c>
      <c r="G138" s="35" t="s">
        <v>23</v>
      </c>
      <c r="H138" s="35" t="s">
        <v>18</v>
      </c>
      <c r="I138" s="37">
        <v>22</v>
      </c>
      <c r="J138" s="38">
        <v>175</v>
      </c>
      <c r="K138" s="35" t="s">
        <v>19</v>
      </c>
      <c r="L138" s="35" t="s">
        <v>24</v>
      </c>
      <c r="M138" s="38">
        <f t="shared" si="2"/>
        <v>3850</v>
      </c>
    </row>
    <row r="139" ht="15.75" spans="1:13">
      <c r="A139" s="35" t="s">
        <v>180</v>
      </c>
      <c r="B139" s="36">
        <v>46209</v>
      </c>
      <c r="C139" s="35" t="s">
        <v>13</v>
      </c>
      <c r="D139" s="35" t="s">
        <v>57</v>
      </c>
      <c r="E139" s="35" t="s">
        <v>15</v>
      </c>
      <c r="F139" s="35" t="s">
        <v>40</v>
      </c>
      <c r="G139" s="35" t="s">
        <v>29</v>
      </c>
      <c r="H139" s="35" t="s">
        <v>30</v>
      </c>
      <c r="I139" s="37">
        <v>28</v>
      </c>
      <c r="J139" s="38">
        <v>26</v>
      </c>
      <c r="K139" s="35" t="s">
        <v>19</v>
      </c>
      <c r="L139" s="35" t="s">
        <v>24</v>
      </c>
      <c r="M139" s="38">
        <f t="shared" si="2"/>
        <v>728</v>
      </c>
    </row>
    <row r="140" ht="15.75" spans="1:13">
      <c r="A140" s="35" t="s">
        <v>181</v>
      </c>
      <c r="B140" s="36">
        <v>46251</v>
      </c>
      <c r="C140" s="35" t="s">
        <v>52</v>
      </c>
      <c r="D140" s="35" t="s">
        <v>14</v>
      </c>
      <c r="E140" s="35" t="s">
        <v>15</v>
      </c>
      <c r="F140" s="35" t="s">
        <v>16</v>
      </c>
      <c r="G140" s="35" t="s">
        <v>45</v>
      </c>
      <c r="H140" s="35" t="s">
        <v>18</v>
      </c>
      <c r="I140" s="37">
        <v>10</v>
      </c>
      <c r="J140" s="38">
        <v>185</v>
      </c>
      <c r="K140" s="35" t="s">
        <v>19</v>
      </c>
      <c r="L140" s="35" t="s">
        <v>20</v>
      </c>
      <c r="M140" s="38">
        <f t="shared" si="2"/>
        <v>1850</v>
      </c>
    </row>
    <row r="141" ht="15.75" spans="1:13">
      <c r="A141" s="35" t="s">
        <v>182</v>
      </c>
      <c r="B141" s="36">
        <v>46282</v>
      </c>
      <c r="C141" s="35" t="s">
        <v>52</v>
      </c>
      <c r="D141" s="35" t="s">
        <v>47</v>
      </c>
      <c r="E141" s="35" t="s">
        <v>48</v>
      </c>
      <c r="F141" s="35" t="s">
        <v>16</v>
      </c>
      <c r="G141" s="35" t="s">
        <v>29</v>
      </c>
      <c r="H141" s="35" t="s">
        <v>30</v>
      </c>
      <c r="I141" s="37">
        <v>8</v>
      </c>
      <c r="J141" s="38">
        <v>26</v>
      </c>
      <c r="K141" s="35" t="s">
        <v>20</v>
      </c>
      <c r="L141" s="35" t="s">
        <v>24</v>
      </c>
      <c r="M141" s="38">
        <f t="shared" si="2"/>
        <v>208</v>
      </c>
    </row>
    <row r="142" ht="15.75" spans="1:13">
      <c r="A142" s="35" t="s">
        <v>183</v>
      </c>
      <c r="B142" s="36">
        <v>46234</v>
      </c>
      <c r="C142" s="35" t="s">
        <v>26</v>
      </c>
      <c r="D142" s="35" t="s">
        <v>78</v>
      </c>
      <c r="E142" s="35" t="s">
        <v>48</v>
      </c>
      <c r="F142" s="35" t="s">
        <v>28</v>
      </c>
      <c r="G142" s="35" t="s">
        <v>45</v>
      </c>
      <c r="H142" s="35" t="s">
        <v>18</v>
      </c>
      <c r="I142" s="37">
        <v>30</v>
      </c>
      <c r="J142" s="38">
        <v>185</v>
      </c>
      <c r="K142" s="35" t="s">
        <v>19</v>
      </c>
      <c r="L142" s="35" t="s">
        <v>20</v>
      </c>
      <c r="M142" s="38">
        <f t="shared" si="2"/>
        <v>5550</v>
      </c>
    </row>
    <row r="143" ht="15.75" spans="1:13">
      <c r="A143" s="35" t="s">
        <v>184</v>
      </c>
      <c r="B143" s="36">
        <v>46228</v>
      </c>
      <c r="C143" s="35" t="s">
        <v>13</v>
      </c>
      <c r="D143" s="35" t="s">
        <v>37</v>
      </c>
      <c r="E143" s="35" t="s">
        <v>33</v>
      </c>
      <c r="F143" s="35" t="s">
        <v>16</v>
      </c>
      <c r="G143" s="35" t="s">
        <v>29</v>
      </c>
      <c r="H143" s="35" t="s">
        <v>30</v>
      </c>
      <c r="I143" s="37">
        <v>53</v>
      </c>
      <c r="J143" s="38">
        <v>26</v>
      </c>
      <c r="K143" s="35" t="s">
        <v>20</v>
      </c>
      <c r="L143" s="35" t="s">
        <v>20</v>
      </c>
      <c r="M143" s="38">
        <f t="shared" si="2"/>
        <v>1378</v>
      </c>
    </row>
    <row r="144" ht="15.75" spans="1:13">
      <c r="A144" s="35" t="s">
        <v>185</v>
      </c>
      <c r="B144" s="36">
        <v>46280</v>
      </c>
      <c r="C144" s="35" t="s">
        <v>13</v>
      </c>
      <c r="D144" s="35" t="s">
        <v>14</v>
      </c>
      <c r="E144" s="35" t="s">
        <v>15</v>
      </c>
      <c r="F144" s="35" t="s">
        <v>16</v>
      </c>
      <c r="G144" s="35" t="s">
        <v>29</v>
      </c>
      <c r="H144" s="35" t="s">
        <v>30</v>
      </c>
      <c r="I144" s="37">
        <v>15</v>
      </c>
      <c r="J144" s="38">
        <v>26</v>
      </c>
      <c r="K144" s="35" t="s">
        <v>19</v>
      </c>
      <c r="L144" s="35" t="s">
        <v>24</v>
      </c>
      <c r="M144" s="38">
        <f t="shared" si="2"/>
        <v>390</v>
      </c>
    </row>
    <row r="145" ht="15.75" spans="1:13">
      <c r="A145" s="35" t="s">
        <v>186</v>
      </c>
      <c r="B145" s="36">
        <v>46230</v>
      </c>
      <c r="C145" s="35" t="s">
        <v>22</v>
      </c>
      <c r="D145" s="35" t="s">
        <v>32</v>
      </c>
      <c r="E145" s="35" t="s">
        <v>33</v>
      </c>
      <c r="F145" s="35" t="s">
        <v>16</v>
      </c>
      <c r="G145" s="35" t="s">
        <v>23</v>
      </c>
      <c r="H145" s="35" t="s">
        <v>18</v>
      </c>
      <c r="I145" s="37">
        <v>71</v>
      </c>
      <c r="J145" s="38">
        <v>175</v>
      </c>
      <c r="K145" s="35" t="s">
        <v>20</v>
      </c>
      <c r="L145" s="35" t="s">
        <v>24</v>
      </c>
      <c r="M145" s="38">
        <f t="shared" si="2"/>
        <v>12425</v>
      </c>
    </row>
    <row r="146" ht="15.75" spans="1:13">
      <c r="A146" s="35" t="s">
        <v>187</v>
      </c>
      <c r="B146" s="36">
        <v>46222</v>
      </c>
      <c r="C146" s="35" t="s">
        <v>22</v>
      </c>
      <c r="D146" s="35" t="s">
        <v>32</v>
      </c>
      <c r="E146" s="35" t="s">
        <v>33</v>
      </c>
      <c r="F146" s="35" t="s">
        <v>16</v>
      </c>
      <c r="G146" s="35" t="s">
        <v>23</v>
      </c>
      <c r="H146" s="35" t="s">
        <v>18</v>
      </c>
      <c r="I146" s="37">
        <v>2</v>
      </c>
      <c r="J146" s="38">
        <v>175</v>
      </c>
      <c r="K146" s="35" t="s">
        <v>19</v>
      </c>
      <c r="L146" s="35" t="s">
        <v>20</v>
      </c>
      <c r="M146" s="38">
        <f t="shared" si="2"/>
        <v>350</v>
      </c>
    </row>
    <row r="147" ht="15.75" spans="1:13">
      <c r="A147" s="35" t="s">
        <v>188</v>
      </c>
      <c r="B147" s="36">
        <v>46249</v>
      </c>
      <c r="C147" s="35" t="s">
        <v>22</v>
      </c>
      <c r="D147" s="35" t="s">
        <v>14</v>
      </c>
      <c r="E147" s="35" t="s">
        <v>15</v>
      </c>
      <c r="F147" s="35" t="s">
        <v>16</v>
      </c>
      <c r="G147" s="35" t="s">
        <v>29</v>
      </c>
      <c r="H147" s="35" t="s">
        <v>30</v>
      </c>
      <c r="I147" s="37">
        <v>3</v>
      </c>
      <c r="J147" s="38">
        <v>26</v>
      </c>
      <c r="K147" s="35" t="s">
        <v>19</v>
      </c>
      <c r="L147" s="35" t="s">
        <v>24</v>
      </c>
      <c r="M147" s="38">
        <f t="shared" si="2"/>
        <v>78</v>
      </c>
    </row>
    <row r="148" ht="15.75" spans="1:13">
      <c r="A148" s="35" t="s">
        <v>189</v>
      </c>
      <c r="B148" s="36">
        <v>46271</v>
      </c>
      <c r="C148" s="35" t="s">
        <v>13</v>
      </c>
      <c r="D148" s="35" t="s">
        <v>57</v>
      </c>
      <c r="E148" s="35" t="s">
        <v>15</v>
      </c>
      <c r="F148" s="35" t="s">
        <v>40</v>
      </c>
      <c r="G148" s="35" t="s">
        <v>17</v>
      </c>
      <c r="H148" s="35" t="s">
        <v>18</v>
      </c>
      <c r="I148" s="37">
        <v>10</v>
      </c>
      <c r="J148" s="38">
        <v>260</v>
      </c>
      <c r="K148" s="35" t="s">
        <v>20</v>
      </c>
      <c r="L148" s="35" t="s">
        <v>24</v>
      </c>
      <c r="M148" s="38">
        <f t="shared" si="2"/>
        <v>2600</v>
      </c>
    </row>
    <row r="149" ht="15.75" spans="1:13">
      <c r="A149" s="35" t="s">
        <v>190</v>
      </c>
      <c r="B149" s="36">
        <v>46232</v>
      </c>
      <c r="C149" s="35" t="s">
        <v>13</v>
      </c>
      <c r="D149" s="35" t="s">
        <v>78</v>
      </c>
      <c r="E149" s="35" t="s">
        <v>48</v>
      </c>
      <c r="F149" s="35" t="s">
        <v>28</v>
      </c>
      <c r="G149" s="35" t="s">
        <v>23</v>
      </c>
      <c r="H149" s="35" t="s">
        <v>18</v>
      </c>
      <c r="I149" s="37">
        <v>8</v>
      </c>
      <c r="J149" s="38">
        <v>175</v>
      </c>
      <c r="K149" s="35" t="s">
        <v>20</v>
      </c>
      <c r="L149" s="35" t="s">
        <v>58</v>
      </c>
      <c r="M149" s="38">
        <f t="shared" si="2"/>
        <v>1400</v>
      </c>
    </row>
    <row r="150" ht="15.75" spans="1:13">
      <c r="A150" s="35" t="s">
        <v>191</v>
      </c>
      <c r="B150" s="36">
        <v>46207</v>
      </c>
      <c r="C150" s="35" t="s">
        <v>13</v>
      </c>
      <c r="D150" s="35" t="s">
        <v>37</v>
      </c>
      <c r="E150" s="35" t="s">
        <v>33</v>
      </c>
      <c r="F150" s="35" t="s">
        <v>16</v>
      </c>
      <c r="G150" s="35" t="s">
        <v>49</v>
      </c>
      <c r="H150" s="35" t="s">
        <v>18</v>
      </c>
      <c r="I150" s="37">
        <v>31</v>
      </c>
      <c r="J150" s="38">
        <v>145</v>
      </c>
      <c r="K150" s="35" t="s">
        <v>20</v>
      </c>
      <c r="L150" s="35" t="s">
        <v>20</v>
      </c>
      <c r="M150" s="38">
        <f t="shared" si="2"/>
        <v>4495</v>
      </c>
    </row>
    <row r="151" ht="15.75" spans="1:13">
      <c r="A151" s="35" t="s">
        <v>192</v>
      </c>
      <c r="B151" s="36">
        <v>46260</v>
      </c>
      <c r="C151" s="35" t="s">
        <v>13</v>
      </c>
      <c r="D151" s="35" t="s">
        <v>47</v>
      </c>
      <c r="E151" s="35" t="s">
        <v>48</v>
      </c>
      <c r="F151" s="35" t="s">
        <v>16</v>
      </c>
      <c r="G151" s="35" t="s">
        <v>29</v>
      </c>
      <c r="H151" s="35" t="s">
        <v>30</v>
      </c>
      <c r="I151" s="37">
        <v>8</v>
      </c>
      <c r="J151" s="38">
        <v>26</v>
      </c>
      <c r="K151" s="35" t="s">
        <v>20</v>
      </c>
      <c r="L151" s="35" t="s">
        <v>24</v>
      </c>
      <c r="M151" s="38">
        <f t="shared" si="2"/>
        <v>208</v>
      </c>
    </row>
    <row r="152" ht="15.75" spans="1:13">
      <c r="A152" s="35" t="s">
        <v>193</v>
      </c>
      <c r="B152" s="36">
        <v>46285</v>
      </c>
      <c r="C152" s="35" t="s">
        <v>26</v>
      </c>
      <c r="D152" s="35" t="s">
        <v>32</v>
      </c>
      <c r="E152" s="35" t="s">
        <v>33</v>
      </c>
      <c r="F152" s="35" t="s">
        <v>16</v>
      </c>
      <c r="G152" s="35" t="s">
        <v>17</v>
      </c>
      <c r="H152" s="35" t="s">
        <v>18</v>
      </c>
      <c r="I152" s="37">
        <v>10</v>
      </c>
      <c r="J152" s="38">
        <v>260</v>
      </c>
      <c r="K152" s="35" t="s">
        <v>19</v>
      </c>
      <c r="L152" s="35" t="s">
        <v>24</v>
      </c>
      <c r="M152" s="38">
        <f t="shared" si="2"/>
        <v>2600</v>
      </c>
    </row>
    <row r="153" ht="15.75" spans="1:13">
      <c r="A153" s="35" t="s">
        <v>194</v>
      </c>
      <c r="B153" s="36">
        <v>46216</v>
      </c>
      <c r="C153" s="35" t="s">
        <v>13</v>
      </c>
      <c r="D153" s="35" t="s">
        <v>57</v>
      </c>
      <c r="E153" s="35" t="s">
        <v>15</v>
      </c>
      <c r="F153" s="35" t="s">
        <v>40</v>
      </c>
      <c r="G153" s="35" t="s">
        <v>35</v>
      </c>
      <c r="H153" s="35" t="s">
        <v>30</v>
      </c>
      <c r="I153" s="37">
        <v>34</v>
      </c>
      <c r="J153" s="38">
        <v>210</v>
      </c>
      <c r="K153" s="35" t="s">
        <v>20</v>
      </c>
      <c r="L153" s="35" t="s">
        <v>24</v>
      </c>
      <c r="M153" s="38">
        <f t="shared" si="2"/>
        <v>7140</v>
      </c>
    </row>
    <row r="154" ht="15.75" spans="1:13">
      <c r="A154" s="35" t="s">
        <v>195</v>
      </c>
      <c r="B154" s="36">
        <v>46233</v>
      </c>
      <c r="C154" s="35" t="s">
        <v>52</v>
      </c>
      <c r="D154" s="35" t="s">
        <v>37</v>
      </c>
      <c r="E154" s="35" t="s">
        <v>33</v>
      </c>
      <c r="F154" s="35" t="s">
        <v>16</v>
      </c>
      <c r="G154" s="35" t="s">
        <v>29</v>
      </c>
      <c r="H154" s="35" t="s">
        <v>30</v>
      </c>
      <c r="I154" s="37">
        <v>15</v>
      </c>
      <c r="J154" s="38">
        <v>26</v>
      </c>
      <c r="K154" s="35" t="s">
        <v>19</v>
      </c>
      <c r="L154" s="35" t="s">
        <v>24</v>
      </c>
      <c r="M154" s="38">
        <f t="shared" si="2"/>
        <v>390</v>
      </c>
    </row>
    <row r="155" ht="15.75" spans="1:13">
      <c r="A155" s="35" t="s">
        <v>196</v>
      </c>
      <c r="B155" s="36">
        <v>46244</v>
      </c>
      <c r="C155" s="35" t="s">
        <v>26</v>
      </c>
      <c r="D155" s="35" t="s">
        <v>47</v>
      </c>
      <c r="E155" s="35" t="s">
        <v>48</v>
      </c>
      <c r="F155" s="35" t="s">
        <v>16</v>
      </c>
      <c r="G155" s="35" t="s">
        <v>29</v>
      </c>
      <c r="H155" s="35" t="s">
        <v>30</v>
      </c>
      <c r="I155" s="37">
        <v>8</v>
      </c>
      <c r="J155" s="38">
        <v>26</v>
      </c>
      <c r="K155" s="35" t="s">
        <v>19</v>
      </c>
      <c r="L155" s="35" t="s">
        <v>24</v>
      </c>
      <c r="M155" s="38">
        <f t="shared" si="2"/>
        <v>208</v>
      </c>
    </row>
    <row r="156" ht="15.75" spans="1:13">
      <c r="A156" s="35" t="s">
        <v>197</v>
      </c>
      <c r="B156" s="36">
        <v>46215</v>
      </c>
      <c r="C156" s="35" t="s">
        <v>52</v>
      </c>
      <c r="D156" s="35" t="s">
        <v>42</v>
      </c>
      <c r="E156" s="35" t="s">
        <v>15</v>
      </c>
      <c r="F156" s="35" t="s">
        <v>40</v>
      </c>
      <c r="G156" s="35" t="s">
        <v>17</v>
      </c>
      <c r="H156" s="35" t="s">
        <v>18</v>
      </c>
      <c r="I156" s="37">
        <v>7</v>
      </c>
      <c r="J156" s="38">
        <v>260</v>
      </c>
      <c r="K156" s="35" t="s">
        <v>19</v>
      </c>
      <c r="L156" s="35" t="s">
        <v>20</v>
      </c>
      <c r="M156" s="38">
        <f t="shared" si="2"/>
        <v>1820</v>
      </c>
    </row>
    <row r="157" ht="15.75" spans="1:13">
      <c r="A157" s="35" t="s">
        <v>198</v>
      </c>
      <c r="B157" s="36">
        <v>46275</v>
      </c>
      <c r="C157" s="35" t="s">
        <v>26</v>
      </c>
      <c r="D157" s="35" t="s">
        <v>32</v>
      </c>
      <c r="E157" s="35" t="s">
        <v>33</v>
      </c>
      <c r="F157" s="35" t="s">
        <v>16</v>
      </c>
      <c r="G157" s="35" t="s">
        <v>23</v>
      </c>
      <c r="H157" s="35" t="s">
        <v>18</v>
      </c>
      <c r="I157" s="37">
        <v>5</v>
      </c>
      <c r="J157" s="38">
        <v>175</v>
      </c>
      <c r="K157" s="35" t="s">
        <v>19</v>
      </c>
      <c r="L157" s="35" t="s">
        <v>24</v>
      </c>
      <c r="M157" s="38">
        <f t="shared" si="2"/>
        <v>875</v>
      </c>
    </row>
    <row r="158" ht="15.75" spans="1:13">
      <c r="A158" s="35" t="s">
        <v>199</v>
      </c>
      <c r="B158" s="36">
        <v>46280</v>
      </c>
      <c r="C158" s="35" t="s">
        <v>26</v>
      </c>
      <c r="D158" s="35" t="s">
        <v>47</v>
      </c>
      <c r="E158" s="35" t="s">
        <v>48</v>
      </c>
      <c r="F158" s="35" t="s">
        <v>16</v>
      </c>
      <c r="G158" s="35" t="s">
        <v>29</v>
      </c>
      <c r="H158" s="35" t="s">
        <v>30</v>
      </c>
      <c r="I158" s="37">
        <v>5</v>
      </c>
      <c r="J158" s="38">
        <v>26</v>
      </c>
      <c r="K158" s="35" t="s">
        <v>19</v>
      </c>
      <c r="L158" s="35" t="s">
        <v>24</v>
      </c>
      <c r="M158" s="38">
        <f t="shared" si="2"/>
        <v>130</v>
      </c>
    </row>
    <row r="159" ht="15.75" spans="1:13">
      <c r="A159" s="35" t="s">
        <v>200</v>
      </c>
      <c r="B159" s="36">
        <v>46217</v>
      </c>
      <c r="C159" s="35" t="s">
        <v>26</v>
      </c>
      <c r="D159" s="35" t="s">
        <v>27</v>
      </c>
      <c r="E159" s="35" t="s">
        <v>15</v>
      </c>
      <c r="F159" s="35" t="s">
        <v>28</v>
      </c>
      <c r="G159" s="35" t="s">
        <v>45</v>
      </c>
      <c r="H159" s="35" t="s">
        <v>18</v>
      </c>
      <c r="I159" s="37">
        <v>32</v>
      </c>
      <c r="J159" s="38">
        <v>185</v>
      </c>
      <c r="K159" s="35" t="s">
        <v>20</v>
      </c>
      <c r="L159" s="35" t="s">
        <v>24</v>
      </c>
      <c r="M159" s="38">
        <f t="shared" si="2"/>
        <v>5920</v>
      </c>
    </row>
    <row r="160" ht="15.75" spans="1:13">
      <c r="A160" s="35" t="s">
        <v>201</v>
      </c>
      <c r="B160" s="36">
        <v>46275</v>
      </c>
      <c r="C160" s="35" t="s">
        <v>13</v>
      </c>
      <c r="D160" s="35" t="s">
        <v>57</v>
      </c>
      <c r="E160" s="35" t="s">
        <v>15</v>
      </c>
      <c r="F160" s="35" t="s">
        <v>40</v>
      </c>
      <c r="G160" s="35" t="s">
        <v>23</v>
      </c>
      <c r="H160" s="35" t="s">
        <v>18</v>
      </c>
      <c r="I160" s="37">
        <v>16</v>
      </c>
      <c r="J160" s="38">
        <v>175</v>
      </c>
      <c r="K160" s="35" t="s">
        <v>19</v>
      </c>
      <c r="L160" s="35" t="s">
        <v>24</v>
      </c>
      <c r="M160" s="38">
        <f t="shared" si="2"/>
        <v>2800</v>
      </c>
    </row>
    <row r="161" ht="15.75" spans="1:13">
      <c r="A161" s="35" t="s">
        <v>202</v>
      </c>
      <c r="B161" s="36">
        <v>46243</v>
      </c>
      <c r="C161" s="35" t="s">
        <v>26</v>
      </c>
      <c r="D161" s="35" t="s">
        <v>57</v>
      </c>
      <c r="E161" s="35" t="s">
        <v>15</v>
      </c>
      <c r="F161" s="35" t="s">
        <v>40</v>
      </c>
      <c r="G161" s="35" t="s">
        <v>17</v>
      </c>
      <c r="H161" s="35" t="s">
        <v>18</v>
      </c>
      <c r="I161" s="37">
        <v>13</v>
      </c>
      <c r="J161" s="38">
        <v>260</v>
      </c>
      <c r="K161" s="35" t="s">
        <v>19</v>
      </c>
      <c r="L161" s="35" t="s">
        <v>24</v>
      </c>
      <c r="M161" s="38">
        <f t="shared" si="2"/>
        <v>3380</v>
      </c>
    </row>
    <row r="162" ht="15.75" spans="1:13">
      <c r="A162" s="35" t="s">
        <v>203</v>
      </c>
      <c r="B162" s="36">
        <v>46207</v>
      </c>
      <c r="C162" s="35" t="s">
        <v>13</v>
      </c>
      <c r="D162" s="35" t="s">
        <v>32</v>
      </c>
      <c r="E162" s="35" t="s">
        <v>33</v>
      </c>
      <c r="F162" s="35" t="s">
        <v>16</v>
      </c>
      <c r="G162" s="35" t="s">
        <v>23</v>
      </c>
      <c r="H162" s="35" t="s">
        <v>18</v>
      </c>
      <c r="I162" s="37">
        <v>76</v>
      </c>
      <c r="J162" s="38">
        <v>175</v>
      </c>
      <c r="K162" s="35" t="s">
        <v>20</v>
      </c>
      <c r="L162" s="35" t="s">
        <v>24</v>
      </c>
      <c r="M162" s="38">
        <f t="shared" si="2"/>
        <v>13300</v>
      </c>
    </row>
    <row r="163" ht="15.75" spans="1:13">
      <c r="A163" s="35" t="s">
        <v>204</v>
      </c>
      <c r="B163" s="36">
        <v>46243</v>
      </c>
      <c r="C163" s="35" t="s">
        <v>26</v>
      </c>
      <c r="D163" s="35" t="s">
        <v>47</v>
      </c>
      <c r="E163" s="35" t="s">
        <v>48</v>
      </c>
      <c r="F163" s="35" t="s">
        <v>16</v>
      </c>
      <c r="G163" s="35" t="s">
        <v>35</v>
      </c>
      <c r="H163" s="35" t="s">
        <v>30</v>
      </c>
      <c r="I163" s="37">
        <v>23</v>
      </c>
      <c r="J163" s="38">
        <v>210</v>
      </c>
      <c r="K163" s="35" t="s">
        <v>20</v>
      </c>
      <c r="L163" s="35" t="s">
        <v>24</v>
      </c>
      <c r="M163" s="38">
        <f t="shared" si="2"/>
        <v>4830</v>
      </c>
    </row>
    <row r="164" ht="15.75" spans="1:13">
      <c r="A164" s="35" t="s">
        <v>205</v>
      </c>
      <c r="B164" s="36">
        <v>46283</v>
      </c>
      <c r="C164" s="35" t="s">
        <v>13</v>
      </c>
      <c r="D164" s="35" t="s">
        <v>14</v>
      </c>
      <c r="E164" s="35" t="s">
        <v>15</v>
      </c>
      <c r="F164" s="35" t="s">
        <v>16</v>
      </c>
      <c r="G164" s="35" t="s">
        <v>17</v>
      </c>
      <c r="H164" s="35" t="s">
        <v>18</v>
      </c>
      <c r="I164" s="37">
        <v>11</v>
      </c>
      <c r="J164" s="38">
        <v>260</v>
      </c>
      <c r="K164" s="35" t="s">
        <v>19</v>
      </c>
      <c r="L164" s="35" t="s">
        <v>24</v>
      </c>
      <c r="M164" s="38">
        <f t="shared" si="2"/>
        <v>2860</v>
      </c>
    </row>
    <row r="165" ht="15.75" spans="1:13">
      <c r="A165" s="35" t="s">
        <v>206</v>
      </c>
      <c r="B165" s="36">
        <v>46231</v>
      </c>
      <c r="C165" s="35" t="s">
        <v>13</v>
      </c>
      <c r="D165" s="35" t="s">
        <v>47</v>
      </c>
      <c r="E165" s="35" t="s">
        <v>48</v>
      </c>
      <c r="F165" s="35" t="s">
        <v>16</v>
      </c>
      <c r="G165" s="35" t="s">
        <v>35</v>
      </c>
      <c r="H165" s="35" t="s">
        <v>30</v>
      </c>
      <c r="I165" s="37">
        <v>30</v>
      </c>
      <c r="J165" s="38">
        <v>210</v>
      </c>
      <c r="K165" s="35" t="s">
        <v>19</v>
      </c>
      <c r="L165" s="35" t="s">
        <v>24</v>
      </c>
      <c r="M165" s="38">
        <f t="shared" si="2"/>
        <v>6300</v>
      </c>
    </row>
    <row r="166" ht="15.75" spans="1:13">
      <c r="A166" s="35" t="s">
        <v>207</v>
      </c>
      <c r="B166" s="36">
        <v>46209</v>
      </c>
      <c r="C166" s="35" t="s">
        <v>22</v>
      </c>
      <c r="D166" s="35" t="s">
        <v>53</v>
      </c>
      <c r="E166" s="35" t="s">
        <v>48</v>
      </c>
      <c r="F166" s="35" t="s">
        <v>28</v>
      </c>
      <c r="G166" s="35" t="s">
        <v>35</v>
      </c>
      <c r="H166" s="35" t="s">
        <v>30</v>
      </c>
      <c r="I166" s="37">
        <v>35</v>
      </c>
      <c r="J166" s="38">
        <v>210</v>
      </c>
      <c r="K166" s="35" t="s">
        <v>19</v>
      </c>
      <c r="L166" s="35" t="s">
        <v>24</v>
      </c>
      <c r="M166" s="38">
        <f t="shared" si="2"/>
        <v>7350</v>
      </c>
    </row>
    <row r="167" ht="15.75" spans="1:13">
      <c r="A167" s="35" t="s">
        <v>208</v>
      </c>
      <c r="B167" s="36">
        <v>46221</v>
      </c>
      <c r="C167" s="35" t="s">
        <v>26</v>
      </c>
      <c r="D167" s="35" t="s">
        <v>39</v>
      </c>
      <c r="E167" s="35" t="s">
        <v>15</v>
      </c>
      <c r="F167" s="35" t="s">
        <v>40</v>
      </c>
      <c r="G167" s="35" t="s">
        <v>45</v>
      </c>
      <c r="H167" s="35" t="s">
        <v>18</v>
      </c>
      <c r="I167" s="37">
        <v>21</v>
      </c>
      <c r="J167" s="38">
        <v>185</v>
      </c>
      <c r="K167" s="35" t="s">
        <v>19</v>
      </c>
      <c r="L167" s="35" t="s">
        <v>24</v>
      </c>
      <c r="M167" s="38">
        <f t="shared" si="2"/>
        <v>3885</v>
      </c>
    </row>
    <row r="168" ht="15.75" spans="1:13">
      <c r="A168" s="35" t="s">
        <v>209</v>
      </c>
      <c r="B168" s="36">
        <v>46252</v>
      </c>
      <c r="C168" s="35" t="s">
        <v>22</v>
      </c>
      <c r="D168" s="35" t="s">
        <v>42</v>
      </c>
      <c r="E168" s="35" t="s">
        <v>15</v>
      </c>
      <c r="F168" s="35" t="s">
        <v>40</v>
      </c>
      <c r="G168" s="35" t="s">
        <v>29</v>
      </c>
      <c r="H168" s="35" t="s">
        <v>30</v>
      </c>
      <c r="I168" s="37">
        <v>29</v>
      </c>
      <c r="J168" s="38">
        <v>26</v>
      </c>
      <c r="K168" s="35" t="s">
        <v>19</v>
      </c>
      <c r="L168" s="35" t="s">
        <v>20</v>
      </c>
      <c r="M168" s="38">
        <f t="shared" si="2"/>
        <v>754</v>
      </c>
    </row>
    <row r="169" ht="15.75" spans="1:13">
      <c r="A169" s="35" t="s">
        <v>210</v>
      </c>
      <c r="B169" s="36">
        <v>46209</v>
      </c>
      <c r="C169" s="35" t="s">
        <v>52</v>
      </c>
      <c r="D169" s="35" t="s">
        <v>78</v>
      </c>
      <c r="E169" s="35" t="s">
        <v>48</v>
      </c>
      <c r="F169" s="35" t="s">
        <v>28</v>
      </c>
      <c r="G169" s="35" t="s">
        <v>17</v>
      </c>
      <c r="H169" s="35" t="s">
        <v>18</v>
      </c>
      <c r="I169" s="37">
        <v>27</v>
      </c>
      <c r="J169" s="38">
        <v>260</v>
      </c>
      <c r="K169" s="35" t="s">
        <v>19</v>
      </c>
      <c r="L169" s="35" t="s">
        <v>58</v>
      </c>
      <c r="M169" s="38">
        <f t="shared" si="2"/>
        <v>7020</v>
      </c>
    </row>
    <row r="170" ht="15.75" spans="1:13">
      <c r="A170" s="35" t="s">
        <v>211</v>
      </c>
      <c r="B170" s="36">
        <v>46294</v>
      </c>
      <c r="C170" s="35" t="s">
        <v>52</v>
      </c>
      <c r="D170" s="35" t="s">
        <v>78</v>
      </c>
      <c r="E170" s="35" t="s">
        <v>48</v>
      </c>
      <c r="F170" s="35" t="s">
        <v>28</v>
      </c>
      <c r="G170" s="35" t="s">
        <v>23</v>
      </c>
      <c r="H170" s="35" t="s">
        <v>18</v>
      </c>
      <c r="I170" s="37">
        <v>29</v>
      </c>
      <c r="J170" s="38">
        <v>175</v>
      </c>
      <c r="K170" s="35" t="s">
        <v>19</v>
      </c>
      <c r="L170" s="35" t="s">
        <v>24</v>
      </c>
      <c r="M170" s="38">
        <f t="shared" si="2"/>
        <v>5075</v>
      </c>
    </row>
    <row r="171" ht="15.75" spans="1:13">
      <c r="A171" s="35" t="s">
        <v>212</v>
      </c>
      <c r="B171" s="36">
        <v>46250</v>
      </c>
      <c r="C171" s="35" t="s">
        <v>13</v>
      </c>
      <c r="D171" s="35" t="s">
        <v>78</v>
      </c>
      <c r="E171" s="35" t="s">
        <v>48</v>
      </c>
      <c r="F171" s="35" t="s">
        <v>28</v>
      </c>
      <c r="G171" s="35" t="s">
        <v>45</v>
      </c>
      <c r="H171" s="35" t="s">
        <v>18</v>
      </c>
      <c r="I171" s="37">
        <v>31</v>
      </c>
      <c r="J171" s="38">
        <v>185</v>
      </c>
      <c r="K171" s="35" t="s">
        <v>19</v>
      </c>
      <c r="L171" s="35" t="s">
        <v>24</v>
      </c>
      <c r="M171" s="38">
        <f t="shared" si="2"/>
        <v>5735</v>
      </c>
    </row>
    <row r="172" ht="15.75" spans="1:13">
      <c r="A172" s="35" t="s">
        <v>213</v>
      </c>
      <c r="B172" s="36">
        <v>46254</v>
      </c>
      <c r="C172" s="35" t="s">
        <v>26</v>
      </c>
      <c r="D172" s="35" t="s">
        <v>47</v>
      </c>
      <c r="E172" s="35" t="s">
        <v>48</v>
      </c>
      <c r="F172" s="35" t="s">
        <v>16</v>
      </c>
      <c r="G172" s="35" t="s">
        <v>23</v>
      </c>
      <c r="H172" s="35" t="s">
        <v>18</v>
      </c>
      <c r="I172" s="37">
        <v>27</v>
      </c>
      <c r="J172" s="38">
        <v>175</v>
      </c>
      <c r="K172" s="35" t="s">
        <v>20</v>
      </c>
      <c r="L172" s="35" t="s">
        <v>24</v>
      </c>
      <c r="M172" s="38">
        <f t="shared" si="2"/>
        <v>4725</v>
      </c>
    </row>
    <row r="173" ht="15.75" spans="1:13">
      <c r="A173" s="35" t="s">
        <v>214</v>
      </c>
      <c r="B173" s="36">
        <v>46271</v>
      </c>
      <c r="C173" s="35" t="s">
        <v>22</v>
      </c>
      <c r="D173" s="35" t="s">
        <v>32</v>
      </c>
      <c r="E173" s="35" t="s">
        <v>33</v>
      </c>
      <c r="F173" s="35" t="s">
        <v>16</v>
      </c>
      <c r="G173" s="35" t="s">
        <v>17</v>
      </c>
      <c r="H173" s="35" t="s">
        <v>18</v>
      </c>
      <c r="I173" s="37">
        <v>34</v>
      </c>
      <c r="J173" s="38">
        <v>260</v>
      </c>
      <c r="K173" s="35" t="s">
        <v>20</v>
      </c>
      <c r="L173" s="35" t="s">
        <v>24</v>
      </c>
      <c r="M173" s="38">
        <f t="shared" si="2"/>
        <v>8840</v>
      </c>
    </row>
    <row r="174" ht="15.75" spans="1:13">
      <c r="A174" s="35" t="s">
        <v>215</v>
      </c>
      <c r="B174" s="36">
        <v>46229</v>
      </c>
      <c r="C174" s="35" t="s">
        <v>22</v>
      </c>
      <c r="D174" s="35" t="s">
        <v>32</v>
      </c>
      <c r="E174" s="35" t="s">
        <v>33</v>
      </c>
      <c r="F174" s="35" t="s">
        <v>16</v>
      </c>
      <c r="G174" s="35" t="s">
        <v>45</v>
      </c>
      <c r="H174" s="35" t="s">
        <v>18</v>
      </c>
      <c r="I174" s="37">
        <v>8</v>
      </c>
      <c r="J174" s="38">
        <v>185</v>
      </c>
      <c r="K174" s="35" t="s">
        <v>19</v>
      </c>
      <c r="L174" s="35" t="s">
        <v>20</v>
      </c>
      <c r="M174" s="38">
        <f t="shared" si="2"/>
        <v>1480</v>
      </c>
    </row>
    <row r="175" ht="15.75" spans="1:13">
      <c r="A175" s="35" t="s">
        <v>216</v>
      </c>
      <c r="B175" s="36">
        <v>46276</v>
      </c>
      <c r="C175" s="35" t="s">
        <v>52</v>
      </c>
      <c r="D175" s="35" t="s">
        <v>14</v>
      </c>
      <c r="E175" s="35" t="s">
        <v>15</v>
      </c>
      <c r="F175" s="35" t="s">
        <v>16</v>
      </c>
      <c r="G175" s="35" t="s">
        <v>45</v>
      </c>
      <c r="H175" s="35" t="s">
        <v>18</v>
      </c>
      <c r="I175" s="37">
        <v>33</v>
      </c>
      <c r="J175" s="38">
        <v>185</v>
      </c>
      <c r="K175" s="35" t="s">
        <v>19</v>
      </c>
      <c r="L175" s="35" t="s">
        <v>20</v>
      </c>
      <c r="M175" s="38">
        <f t="shared" si="2"/>
        <v>6105</v>
      </c>
    </row>
    <row r="176" ht="15.75" spans="1:13">
      <c r="A176" s="35" t="s">
        <v>217</v>
      </c>
      <c r="B176" s="36">
        <v>46212</v>
      </c>
      <c r="C176" s="35" t="s">
        <v>52</v>
      </c>
      <c r="D176" s="35" t="s">
        <v>53</v>
      </c>
      <c r="E176" s="35" t="s">
        <v>48</v>
      </c>
      <c r="F176" s="35" t="s">
        <v>28</v>
      </c>
      <c r="G176" s="35" t="s">
        <v>49</v>
      </c>
      <c r="H176" s="35" t="s">
        <v>18</v>
      </c>
      <c r="I176" s="37">
        <v>22</v>
      </c>
      <c r="J176" s="38">
        <v>145</v>
      </c>
      <c r="K176" s="35" t="s">
        <v>19</v>
      </c>
      <c r="L176" s="35" t="s">
        <v>24</v>
      </c>
      <c r="M176" s="38">
        <f t="shared" si="2"/>
        <v>3190</v>
      </c>
    </row>
    <row r="177" ht="15.75" spans="1:13">
      <c r="A177" s="35" t="s">
        <v>218</v>
      </c>
      <c r="B177" s="36">
        <v>46213</v>
      </c>
      <c r="C177" s="35" t="s">
        <v>26</v>
      </c>
      <c r="D177" s="35" t="s">
        <v>57</v>
      </c>
      <c r="E177" s="35" t="s">
        <v>15</v>
      </c>
      <c r="F177" s="35" t="s">
        <v>40</v>
      </c>
      <c r="G177" s="35" t="s">
        <v>23</v>
      </c>
      <c r="H177" s="35" t="s">
        <v>18</v>
      </c>
      <c r="I177" s="37">
        <v>5</v>
      </c>
      <c r="J177" s="38">
        <v>175</v>
      </c>
      <c r="K177" s="35" t="s">
        <v>19</v>
      </c>
      <c r="L177" s="35" t="s">
        <v>24</v>
      </c>
      <c r="M177" s="38">
        <f t="shared" si="2"/>
        <v>875</v>
      </c>
    </row>
    <row r="178" ht="15.75" spans="1:13">
      <c r="A178" s="35" t="s">
        <v>219</v>
      </c>
      <c r="B178" s="36">
        <v>46215</v>
      </c>
      <c r="C178" s="35" t="s">
        <v>52</v>
      </c>
      <c r="D178" s="35" t="s">
        <v>78</v>
      </c>
      <c r="E178" s="35" t="s">
        <v>48</v>
      </c>
      <c r="F178" s="35" t="s">
        <v>28</v>
      </c>
      <c r="G178" s="35" t="s">
        <v>49</v>
      </c>
      <c r="H178" s="35" t="s">
        <v>18</v>
      </c>
      <c r="I178" s="37">
        <v>6</v>
      </c>
      <c r="J178" s="38">
        <v>145</v>
      </c>
      <c r="K178" s="35" t="s">
        <v>19</v>
      </c>
      <c r="L178" s="35" t="s">
        <v>24</v>
      </c>
      <c r="M178" s="38">
        <f t="shared" si="2"/>
        <v>870</v>
      </c>
    </row>
    <row r="179" ht="15.75" spans="1:13">
      <c r="A179" s="35" t="s">
        <v>220</v>
      </c>
      <c r="B179" s="36">
        <v>46264</v>
      </c>
      <c r="C179" s="35" t="s">
        <v>22</v>
      </c>
      <c r="D179" s="35" t="s">
        <v>39</v>
      </c>
      <c r="E179" s="35" t="s">
        <v>15</v>
      </c>
      <c r="F179" s="35" t="s">
        <v>40</v>
      </c>
      <c r="G179" s="35" t="s">
        <v>35</v>
      </c>
      <c r="H179" s="35" t="s">
        <v>30</v>
      </c>
      <c r="I179" s="37">
        <v>14</v>
      </c>
      <c r="J179" s="38">
        <v>210</v>
      </c>
      <c r="K179" s="35" t="s">
        <v>20</v>
      </c>
      <c r="L179" s="35" t="s">
        <v>24</v>
      </c>
      <c r="M179" s="38">
        <f t="shared" si="2"/>
        <v>2940</v>
      </c>
    </row>
    <row r="180" ht="15.75" spans="1:13">
      <c r="A180" s="35" t="s">
        <v>221</v>
      </c>
      <c r="B180" s="36">
        <v>46226</v>
      </c>
      <c r="C180" s="35" t="s">
        <v>13</v>
      </c>
      <c r="D180" s="35" t="s">
        <v>78</v>
      </c>
      <c r="E180" s="35" t="s">
        <v>48</v>
      </c>
      <c r="F180" s="35" t="s">
        <v>28</v>
      </c>
      <c r="G180" s="35" t="s">
        <v>29</v>
      </c>
      <c r="H180" s="35" t="s">
        <v>30</v>
      </c>
      <c r="I180" s="37">
        <v>7</v>
      </c>
      <c r="J180" s="38">
        <v>26</v>
      </c>
      <c r="K180" s="35" t="s">
        <v>19</v>
      </c>
      <c r="L180" s="35" t="s">
        <v>24</v>
      </c>
      <c r="M180" s="38">
        <f t="shared" si="2"/>
        <v>182</v>
      </c>
    </row>
    <row r="181" ht="15.75" spans="1:13">
      <c r="A181" s="35" t="s">
        <v>222</v>
      </c>
      <c r="B181" s="36">
        <v>46250</v>
      </c>
      <c r="C181" s="35" t="s">
        <v>26</v>
      </c>
      <c r="D181" s="35" t="s">
        <v>42</v>
      </c>
      <c r="E181" s="35" t="s">
        <v>15</v>
      </c>
      <c r="F181" s="35" t="s">
        <v>40</v>
      </c>
      <c r="G181" s="35" t="s">
        <v>23</v>
      </c>
      <c r="H181" s="35" t="s">
        <v>18</v>
      </c>
      <c r="I181" s="37">
        <v>35</v>
      </c>
      <c r="J181" s="38">
        <v>175</v>
      </c>
      <c r="K181" s="35" t="s">
        <v>20</v>
      </c>
      <c r="L181" s="35" t="s">
        <v>24</v>
      </c>
      <c r="M181" s="38">
        <f t="shared" si="2"/>
        <v>6125</v>
      </c>
    </row>
    <row r="182" ht="15.75" spans="1:13">
      <c r="A182" s="35" t="s">
        <v>223</v>
      </c>
      <c r="B182" s="36">
        <v>46286</v>
      </c>
      <c r="C182" s="35" t="s">
        <v>26</v>
      </c>
      <c r="D182" s="35" t="s">
        <v>78</v>
      </c>
      <c r="E182" s="35" t="s">
        <v>48</v>
      </c>
      <c r="F182" s="35" t="s">
        <v>28</v>
      </c>
      <c r="G182" s="35" t="s">
        <v>29</v>
      </c>
      <c r="H182" s="35" t="s">
        <v>30</v>
      </c>
      <c r="I182" s="37">
        <v>5</v>
      </c>
      <c r="J182" s="38">
        <v>26</v>
      </c>
      <c r="K182" s="35" t="s">
        <v>19</v>
      </c>
      <c r="L182" s="35" t="s">
        <v>24</v>
      </c>
      <c r="M182" s="38">
        <f t="shared" si="2"/>
        <v>130</v>
      </c>
    </row>
    <row r="183" ht="15.75" spans="1:13">
      <c r="A183" s="35" t="s">
        <v>224</v>
      </c>
      <c r="B183" s="36">
        <v>46288</v>
      </c>
      <c r="C183" s="35" t="s">
        <v>22</v>
      </c>
      <c r="D183" s="35" t="s">
        <v>47</v>
      </c>
      <c r="E183" s="35" t="s">
        <v>48</v>
      </c>
      <c r="F183" s="35" t="s">
        <v>16</v>
      </c>
      <c r="G183" s="35" t="s">
        <v>49</v>
      </c>
      <c r="H183" s="35" t="s">
        <v>18</v>
      </c>
      <c r="I183" s="37">
        <v>18</v>
      </c>
      <c r="J183" s="38">
        <v>145</v>
      </c>
      <c r="K183" s="35" t="s">
        <v>19</v>
      </c>
      <c r="L183" s="35" t="s">
        <v>24</v>
      </c>
      <c r="M183" s="38">
        <f t="shared" si="2"/>
        <v>2610</v>
      </c>
    </row>
    <row r="184" ht="15.75" spans="1:13">
      <c r="A184" s="35" t="s">
        <v>225</v>
      </c>
      <c r="B184" s="36">
        <v>46293</v>
      </c>
      <c r="C184" s="35" t="s">
        <v>52</v>
      </c>
      <c r="D184" s="35" t="s">
        <v>32</v>
      </c>
      <c r="E184" s="35" t="s">
        <v>33</v>
      </c>
      <c r="F184" s="35" t="s">
        <v>16</v>
      </c>
      <c r="G184" s="35" t="s">
        <v>49</v>
      </c>
      <c r="H184" s="35" t="s">
        <v>18</v>
      </c>
      <c r="I184" s="37">
        <v>21</v>
      </c>
      <c r="J184" s="38">
        <v>145</v>
      </c>
      <c r="K184" s="35" t="s">
        <v>19</v>
      </c>
      <c r="L184" s="35" t="s">
        <v>20</v>
      </c>
      <c r="M184" s="38">
        <f t="shared" si="2"/>
        <v>3045</v>
      </c>
    </row>
    <row r="185" ht="15.75" spans="1:13">
      <c r="A185" s="35" t="s">
        <v>226</v>
      </c>
      <c r="B185" s="36">
        <v>46246</v>
      </c>
      <c r="C185" s="35" t="s">
        <v>22</v>
      </c>
      <c r="D185" s="35" t="s">
        <v>14</v>
      </c>
      <c r="E185" s="35" t="s">
        <v>15</v>
      </c>
      <c r="F185" s="35" t="s">
        <v>16</v>
      </c>
      <c r="G185" s="35" t="s">
        <v>49</v>
      </c>
      <c r="H185" s="35" t="s">
        <v>18</v>
      </c>
      <c r="I185" s="37">
        <v>26</v>
      </c>
      <c r="J185" s="38">
        <v>145</v>
      </c>
      <c r="K185" s="35" t="s">
        <v>19</v>
      </c>
      <c r="L185" s="35" t="s">
        <v>20</v>
      </c>
      <c r="M185" s="38">
        <f t="shared" si="2"/>
        <v>3770</v>
      </c>
    </row>
    <row r="186" ht="15.75" spans="1:13">
      <c r="A186" s="35" t="s">
        <v>227</v>
      </c>
      <c r="B186" s="36">
        <v>46206</v>
      </c>
      <c r="C186" s="35" t="s">
        <v>26</v>
      </c>
      <c r="D186" s="35" t="s">
        <v>37</v>
      </c>
      <c r="E186" s="35" t="s">
        <v>33</v>
      </c>
      <c r="F186" s="35" t="s">
        <v>16</v>
      </c>
      <c r="G186" s="35" t="s">
        <v>17</v>
      </c>
      <c r="H186" s="35" t="s">
        <v>18</v>
      </c>
      <c r="I186" s="37">
        <v>29</v>
      </c>
      <c r="J186" s="38">
        <v>260</v>
      </c>
      <c r="K186" s="35" t="s">
        <v>19</v>
      </c>
      <c r="L186" s="35" t="s">
        <v>58</v>
      </c>
      <c r="M186" s="38">
        <f t="shared" si="2"/>
        <v>7540</v>
      </c>
    </row>
    <row r="187" ht="15.75" spans="1:13">
      <c r="A187" s="35" t="s">
        <v>228</v>
      </c>
      <c r="B187" s="36">
        <v>46221</v>
      </c>
      <c r="C187" s="35" t="s">
        <v>22</v>
      </c>
      <c r="D187" s="35" t="s">
        <v>78</v>
      </c>
      <c r="E187" s="35" t="s">
        <v>48</v>
      </c>
      <c r="F187" s="35" t="s">
        <v>28</v>
      </c>
      <c r="G187" s="35" t="s">
        <v>35</v>
      </c>
      <c r="H187" s="35" t="s">
        <v>30</v>
      </c>
      <c r="I187" s="37">
        <v>14</v>
      </c>
      <c r="J187" s="38">
        <v>210</v>
      </c>
      <c r="K187" s="35" t="s">
        <v>19</v>
      </c>
      <c r="L187" s="35" t="s">
        <v>20</v>
      </c>
      <c r="M187" s="38">
        <f t="shared" si="2"/>
        <v>2940</v>
      </c>
    </row>
    <row r="188" ht="15.75" spans="1:13">
      <c r="A188" s="35" t="s">
        <v>229</v>
      </c>
      <c r="B188" s="36">
        <v>46283</v>
      </c>
      <c r="C188" s="35" t="s">
        <v>22</v>
      </c>
      <c r="D188" s="35" t="s">
        <v>14</v>
      </c>
      <c r="E188" s="35" t="s">
        <v>15</v>
      </c>
      <c r="F188" s="35" t="s">
        <v>16</v>
      </c>
      <c r="G188" s="35" t="s">
        <v>23</v>
      </c>
      <c r="H188" s="35" t="s">
        <v>18</v>
      </c>
      <c r="I188" s="37">
        <v>57</v>
      </c>
      <c r="J188" s="38">
        <v>175</v>
      </c>
      <c r="K188" s="35" t="s">
        <v>19</v>
      </c>
      <c r="L188" s="35" t="s">
        <v>24</v>
      </c>
      <c r="M188" s="38">
        <f t="shared" si="2"/>
        <v>9975</v>
      </c>
    </row>
    <row r="189" ht="15.75" spans="1:13">
      <c r="A189" s="35" t="s">
        <v>230</v>
      </c>
      <c r="B189" s="36">
        <v>46209</v>
      </c>
      <c r="C189" s="35" t="s">
        <v>52</v>
      </c>
      <c r="D189" s="35" t="s">
        <v>32</v>
      </c>
      <c r="E189" s="35" t="s">
        <v>33</v>
      </c>
      <c r="F189" s="35" t="s">
        <v>16</v>
      </c>
      <c r="G189" s="35" t="s">
        <v>29</v>
      </c>
      <c r="H189" s="35" t="s">
        <v>30</v>
      </c>
      <c r="I189" s="37">
        <v>12</v>
      </c>
      <c r="J189" s="38">
        <v>26</v>
      </c>
      <c r="K189" s="35" t="s">
        <v>19</v>
      </c>
      <c r="L189" s="35" t="s">
        <v>20</v>
      </c>
      <c r="M189" s="38">
        <f t="shared" si="2"/>
        <v>312</v>
      </c>
    </row>
    <row r="190" ht="15.75" spans="1:13">
      <c r="A190" s="35" t="s">
        <v>231</v>
      </c>
      <c r="B190" s="36">
        <v>46261</v>
      </c>
      <c r="C190" s="35" t="s">
        <v>22</v>
      </c>
      <c r="D190" s="35" t="s">
        <v>42</v>
      </c>
      <c r="E190" s="35" t="s">
        <v>15</v>
      </c>
      <c r="F190" s="35" t="s">
        <v>40</v>
      </c>
      <c r="G190" s="35" t="s">
        <v>23</v>
      </c>
      <c r="H190" s="35" t="s">
        <v>18</v>
      </c>
      <c r="I190" s="37">
        <v>20</v>
      </c>
      <c r="J190" s="38">
        <v>175</v>
      </c>
      <c r="K190" s="35" t="s">
        <v>19</v>
      </c>
      <c r="L190" s="35" t="s">
        <v>24</v>
      </c>
      <c r="M190" s="38">
        <f t="shared" si="2"/>
        <v>3500</v>
      </c>
    </row>
    <row r="191" ht="15.75" spans="1:13">
      <c r="A191" s="35" t="s">
        <v>232</v>
      </c>
      <c r="B191" s="36">
        <v>46277</v>
      </c>
      <c r="C191" s="35" t="s">
        <v>52</v>
      </c>
      <c r="D191" s="35" t="s">
        <v>42</v>
      </c>
      <c r="E191" s="35" t="s">
        <v>15</v>
      </c>
      <c r="F191" s="35" t="s">
        <v>40</v>
      </c>
      <c r="G191" s="35" t="s">
        <v>45</v>
      </c>
      <c r="H191" s="35" t="s">
        <v>18</v>
      </c>
      <c r="I191" s="37">
        <v>25</v>
      </c>
      <c r="J191" s="38">
        <v>185</v>
      </c>
      <c r="K191" s="35" t="s">
        <v>19</v>
      </c>
      <c r="L191" s="35" t="s">
        <v>24</v>
      </c>
      <c r="M191" s="38">
        <f t="shared" si="2"/>
        <v>4625</v>
      </c>
    </row>
    <row r="192" ht="15.75" spans="1:13">
      <c r="A192" s="35" t="s">
        <v>233</v>
      </c>
      <c r="B192" s="36">
        <v>46224</v>
      </c>
      <c r="C192" s="35" t="s">
        <v>22</v>
      </c>
      <c r="D192" s="35" t="s">
        <v>47</v>
      </c>
      <c r="E192" s="35" t="s">
        <v>48</v>
      </c>
      <c r="F192" s="35" t="s">
        <v>16</v>
      </c>
      <c r="G192" s="35" t="s">
        <v>23</v>
      </c>
      <c r="H192" s="35" t="s">
        <v>18</v>
      </c>
      <c r="I192" s="37">
        <v>35</v>
      </c>
      <c r="J192" s="38">
        <v>175</v>
      </c>
      <c r="K192" s="35" t="s">
        <v>20</v>
      </c>
      <c r="L192" s="35" t="s">
        <v>24</v>
      </c>
      <c r="M192" s="38">
        <f t="shared" si="2"/>
        <v>6125</v>
      </c>
    </row>
    <row r="193" ht="15.75" spans="1:13">
      <c r="A193" s="35" t="s">
        <v>234</v>
      </c>
      <c r="B193" s="36">
        <v>46274</v>
      </c>
      <c r="C193" s="35" t="s">
        <v>13</v>
      </c>
      <c r="D193" s="35" t="s">
        <v>57</v>
      </c>
      <c r="E193" s="35" t="s">
        <v>15</v>
      </c>
      <c r="F193" s="35" t="s">
        <v>40</v>
      </c>
      <c r="G193" s="35" t="s">
        <v>17</v>
      </c>
      <c r="H193" s="35" t="s">
        <v>18</v>
      </c>
      <c r="I193" s="37">
        <v>32</v>
      </c>
      <c r="J193" s="38">
        <v>260</v>
      </c>
      <c r="K193" s="35" t="s">
        <v>19</v>
      </c>
      <c r="L193" s="35" t="s">
        <v>24</v>
      </c>
      <c r="M193" s="38">
        <f t="shared" si="2"/>
        <v>8320</v>
      </c>
    </row>
    <row r="194" ht="15.75" spans="1:13">
      <c r="A194" s="35" t="s">
        <v>235</v>
      </c>
      <c r="B194" s="36">
        <v>46238</v>
      </c>
      <c r="C194" s="35" t="s">
        <v>52</v>
      </c>
      <c r="D194" s="35" t="s">
        <v>14</v>
      </c>
      <c r="E194" s="35" t="s">
        <v>15</v>
      </c>
      <c r="F194" s="35" t="s">
        <v>16</v>
      </c>
      <c r="G194" s="35" t="s">
        <v>49</v>
      </c>
      <c r="H194" s="35" t="s">
        <v>18</v>
      </c>
      <c r="I194" s="37">
        <v>7</v>
      </c>
      <c r="J194" s="38">
        <v>145</v>
      </c>
      <c r="K194" s="35" t="s">
        <v>20</v>
      </c>
      <c r="L194" s="35" t="s">
        <v>24</v>
      </c>
      <c r="M194" s="38">
        <f t="shared" si="2"/>
        <v>1015</v>
      </c>
    </row>
    <row r="195" ht="15.75" spans="1:13">
      <c r="A195" s="35" t="s">
        <v>236</v>
      </c>
      <c r="B195" s="36">
        <v>46248</v>
      </c>
      <c r="C195" s="35" t="s">
        <v>13</v>
      </c>
      <c r="D195" s="35" t="s">
        <v>47</v>
      </c>
      <c r="E195" s="35" t="s">
        <v>48</v>
      </c>
      <c r="F195" s="35" t="s">
        <v>16</v>
      </c>
      <c r="G195" s="35" t="s">
        <v>17</v>
      </c>
      <c r="H195" s="35" t="s">
        <v>18</v>
      </c>
      <c r="I195" s="37">
        <v>16</v>
      </c>
      <c r="J195" s="38">
        <v>260</v>
      </c>
      <c r="K195" s="35" t="s">
        <v>19</v>
      </c>
      <c r="L195" s="35" t="s">
        <v>24</v>
      </c>
      <c r="M195" s="38">
        <f t="shared" ref="M195:M258" si="3">I195*J195</f>
        <v>4160</v>
      </c>
    </row>
    <row r="196" ht="15.75" spans="1:13">
      <c r="A196" s="35" t="s">
        <v>237</v>
      </c>
      <c r="B196" s="36">
        <v>46251</v>
      </c>
      <c r="C196" s="35" t="s">
        <v>22</v>
      </c>
      <c r="D196" s="35" t="s">
        <v>78</v>
      </c>
      <c r="E196" s="35" t="s">
        <v>48</v>
      </c>
      <c r="F196" s="35" t="s">
        <v>28</v>
      </c>
      <c r="G196" s="35" t="s">
        <v>45</v>
      </c>
      <c r="H196" s="35" t="s">
        <v>18</v>
      </c>
      <c r="I196" s="37">
        <v>26</v>
      </c>
      <c r="J196" s="38">
        <v>185</v>
      </c>
      <c r="K196" s="35" t="s">
        <v>19</v>
      </c>
      <c r="L196" s="35" t="s">
        <v>58</v>
      </c>
      <c r="M196" s="38">
        <f t="shared" si="3"/>
        <v>4810</v>
      </c>
    </row>
    <row r="197" ht="15.75" spans="1:13">
      <c r="A197" s="35" t="s">
        <v>238</v>
      </c>
      <c r="B197" s="36">
        <v>46293</v>
      </c>
      <c r="C197" s="35" t="s">
        <v>22</v>
      </c>
      <c r="D197" s="35" t="s">
        <v>78</v>
      </c>
      <c r="E197" s="35" t="s">
        <v>48</v>
      </c>
      <c r="F197" s="35" t="s">
        <v>28</v>
      </c>
      <c r="G197" s="35" t="s">
        <v>45</v>
      </c>
      <c r="H197" s="35" t="s">
        <v>18</v>
      </c>
      <c r="I197" s="37">
        <v>66</v>
      </c>
      <c r="J197" s="38">
        <v>185</v>
      </c>
      <c r="K197" s="35" t="s">
        <v>20</v>
      </c>
      <c r="L197" s="35" t="s">
        <v>24</v>
      </c>
      <c r="M197" s="38">
        <f t="shared" si="3"/>
        <v>12210</v>
      </c>
    </row>
    <row r="198" ht="15.75" spans="1:13">
      <c r="A198" s="35" t="s">
        <v>239</v>
      </c>
      <c r="B198" s="36">
        <v>46223</v>
      </c>
      <c r="C198" s="35" t="s">
        <v>52</v>
      </c>
      <c r="D198" s="35" t="s">
        <v>53</v>
      </c>
      <c r="E198" s="35" t="s">
        <v>48</v>
      </c>
      <c r="F198" s="35" t="s">
        <v>28</v>
      </c>
      <c r="G198" s="35" t="s">
        <v>17</v>
      </c>
      <c r="H198" s="35" t="s">
        <v>18</v>
      </c>
      <c r="I198" s="37">
        <v>49</v>
      </c>
      <c r="J198" s="38">
        <v>260</v>
      </c>
      <c r="K198" s="35" t="s">
        <v>19</v>
      </c>
      <c r="L198" s="35" t="s">
        <v>24</v>
      </c>
      <c r="M198" s="38">
        <f t="shared" si="3"/>
        <v>12740</v>
      </c>
    </row>
    <row r="199" ht="15.75" spans="1:13">
      <c r="A199" s="35" t="s">
        <v>240</v>
      </c>
      <c r="B199" s="36">
        <v>46285</v>
      </c>
      <c r="C199" s="35" t="s">
        <v>52</v>
      </c>
      <c r="D199" s="35" t="s">
        <v>57</v>
      </c>
      <c r="E199" s="35" t="s">
        <v>15</v>
      </c>
      <c r="F199" s="35" t="s">
        <v>40</v>
      </c>
      <c r="G199" s="35" t="s">
        <v>17</v>
      </c>
      <c r="H199" s="35" t="s">
        <v>18</v>
      </c>
      <c r="I199" s="37">
        <v>5</v>
      </c>
      <c r="J199" s="38">
        <v>260</v>
      </c>
      <c r="K199" s="35" t="s">
        <v>19</v>
      </c>
      <c r="L199" s="35" t="s">
        <v>20</v>
      </c>
      <c r="M199" s="38">
        <f t="shared" si="3"/>
        <v>1300</v>
      </c>
    </row>
    <row r="200" ht="15.75" spans="1:13">
      <c r="A200" s="35" t="s">
        <v>241</v>
      </c>
      <c r="B200" s="36">
        <v>46277</v>
      </c>
      <c r="C200" s="35" t="s">
        <v>22</v>
      </c>
      <c r="D200" s="35" t="s">
        <v>42</v>
      </c>
      <c r="E200" s="35" t="s">
        <v>15</v>
      </c>
      <c r="F200" s="35" t="s">
        <v>40</v>
      </c>
      <c r="G200" s="35" t="s">
        <v>23</v>
      </c>
      <c r="H200" s="35" t="s">
        <v>18</v>
      </c>
      <c r="I200" s="37">
        <v>3</v>
      </c>
      <c r="J200" s="38">
        <v>175</v>
      </c>
      <c r="K200" s="35" t="s">
        <v>19</v>
      </c>
      <c r="L200" s="35" t="s">
        <v>24</v>
      </c>
      <c r="M200" s="38">
        <f t="shared" si="3"/>
        <v>525</v>
      </c>
    </row>
    <row r="201" ht="15.75" spans="1:13">
      <c r="A201" s="35" t="s">
        <v>242</v>
      </c>
      <c r="B201" s="36">
        <v>46257</v>
      </c>
      <c r="C201" s="35" t="s">
        <v>22</v>
      </c>
      <c r="D201" s="35" t="s">
        <v>39</v>
      </c>
      <c r="E201" s="35" t="s">
        <v>15</v>
      </c>
      <c r="F201" s="35" t="s">
        <v>40</v>
      </c>
      <c r="G201" s="35" t="s">
        <v>23</v>
      </c>
      <c r="H201" s="35" t="s">
        <v>18</v>
      </c>
      <c r="I201" s="37">
        <v>24</v>
      </c>
      <c r="J201" s="38">
        <v>175</v>
      </c>
      <c r="K201" s="35" t="s">
        <v>19</v>
      </c>
      <c r="L201" s="35" t="s">
        <v>24</v>
      </c>
      <c r="M201" s="38">
        <f t="shared" si="3"/>
        <v>4200</v>
      </c>
    </row>
    <row r="202" ht="15.75" spans="1:13">
      <c r="A202" s="35" t="s">
        <v>243</v>
      </c>
      <c r="B202" s="36">
        <v>46268</v>
      </c>
      <c r="C202" s="35" t="s">
        <v>13</v>
      </c>
      <c r="D202" s="35" t="s">
        <v>78</v>
      </c>
      <c r="E202" s="35" t="s">
        <v>48</v>
      </c>
      <c r="F202" s="35" t="s">
        <v>28</v>
      </c>
      <c r="G202" s="35" t="s">
        <v>17</v>
      </c>
      <c r="H202" s="35" t="s">
        <v>18</v>
      </c>
      <c r="I202" s="37">
        <v>35</v>
      </c>
      <c r="J202" s="38">
        <v>260</v>
      </c>
      <c r="K202" s="35" t="s">
        <v>19</v>
      </c>
      <c r="L202" s="35" t="s">
        <v>24</v>
      </c>
      <c r="M202" s="38">
        <f t="shared" si="3"/>
        <v>9100</v>
      </c>
    </row>
    <row r="203" ht="15.75" spans="1:13">
      <c r="A203" s="35" t="s">
        <v>244</v>
      </c>
      <c r="B203" s="36">
        <v>46249</v>
      </c>
      <c r="C203" s="35" t="s">
        <v>13</v>
      </c>
      <c r="D203" s="35" t="s">
        <v>47</v>
      </c>
      <c r="E203" s="35" t="s">
        <v>48</v>
      </c>
      <c r="F203" s="35" t="s">
        <v>16</v>
      </c>
      <c r="G203" s="35" t="s">
        <v>49</v>
      </c>
      <c r="H203" s="35" t="s">
        <v>18</v>
      </c>
      <c r="I203" s="37">
        <v>18</v>
      </c>
      <c r="J203" s="38">
        <v>145</v>
      </c>
      <c r="K203" s="35" t="s">
        <v>19</v>
      </c>
      <c r="L203" s="35" t="s">
        <v>20</v>
      </c>
      <c r="M203" s="38">
        <f t="shared" si="3"/>
        <v>2610</v>
      </c>
    </row>
    <row r="204" ht="15.75" spans="1:13">
      <c r="A204" s="35" t="s">
        <v>245</v>
      </c>
      <c r="B204" s="36">
        <v>46249</v>
      </c>
      <c r="C204" s="35" t="s">
        <v>26</v>
      </c>
      <c r="D204" s="35" t="s">
        <v>14</v>
      </c>
      <c r="E204" s="35" t="s">
        <v>15</v>
      </c>
      <c r="F204" s="35" t="s">
        <v>16</v>
      </c>
      <c r="G204" s="35" t="s">
        <v>23</v>
      </c>
      <c r="H204" s="35" t="s">
        <v>18</v>
      </c>
      <c r="I204" s="37">
        <v>23</v>
      </c>
      <c r="J204" s="38">
        <v>175</v>
      </c>
      <c r="K204" s="35" t="s">
        <v>20</v>
      </c>
      <c r="L204" s="35" t="s">
        <v>24</v>
      </c>
      <c r="M204" s="38">
        <f t="shared" si="3"/>
        <v>4025</v>
      </c>
    </row>
    <row r="205" ht="15.75" spans="1:13">
      <c r="A205" s="35" t="s">
        <v>246</v>
      </c>
      <c r="B205" s="36">
        <v>46221</v>
      </c>
      <c r="C205" s="35" t="s">
        <v>13</v>
      </c>
      <c r="D205" s="35" t="s">
        <v>42</v>
      </c>
      <c r="E205" s="35" t="s">
        <v>15</v>
      </c>
      <c r="F205" s="35" t="s">
        <v>40</v>
      </c>
      <c r="G205" s="35" t="s">
        <v>29</v>
      </c>
      <c r="H205" s="35" t="s">
        <v>30</v>
      </c>
      <c r="I205" s="37">
        <v>32</v>
      </c>
      <c r="J205" s="38">
        <v>26</v>
      </c>
      <c r="K205" s="35" t="s">
        <v>19</v>
      </c>
      <c r="L205" s="35" t="s">
        <v>58</v>
      </c>
      <c r="M205" s="38">
        <f t="shared" si="3"/>
        <v>832</v>
      </c>
    </row>
    <row r="206" ht="15.75" spans="1:13">
      <c r="A206" s="35" t="s">
        <v>247</v>
      </c>
      <c r="B206" s="36">
        <v>46209</v>
      </c>
      <c r="C206" s="35" t="s">
        <v>26</v>
      </c>
      <c r="D206" s="35" t="s">
        <v>39</v>
      </c>
      <c r="E206" s="35" t="s">
        <v>15</v>
      </c>
      <c r="F206" s="35" t="s">
        <v>40</v>
      </c>
      <c r="G206" s="35" t="s">
        <v>49</v>
      </c>
      <c r="H206" s="35" t="s">
        <v>18</v>
      </c>
      <c r="I206" s="37">
        <v>48</v>
      </c>
      <c r="J206" s="38">
        <v>145</v>
      </c>
      <c r="K206" s="35" t="s">
        <v>20</v>
      </c>
      <c r="L206" s="35" t="s">
        <v>24</v>
      </c>
      <c r="M206" s="38">
        <f t="shared" si="3"/>
        <v>6960</v>
      </c>
    </row>
    <row r="207" ht="15.75" spans="1:13">
      <c r="A207" s="35" t="s">
        <v>248</v>
      </c>
      <c r="B207" s="36">
        <v>46228</v>
      </c>
      <c r="C207" s="35" t="s">
        <v>26</v>
      </c>
      <c r="D207" s="35" t="s">
        <v>37</v>
      </c>
      <c r="E207" s="35" t="s">
        <v>33</v>
      </c>
      <c r="F207" s="35" t="s">
        <v>16</v>
      </c>
      <c r="G207" s="35" t="s">
        <v>35</v>
      </c>
      <c r="H207" s="35" t="s">
        <v>30</v>
      </c>
      <c r="I207" s="37">
        <v>77</v>
      </c>
      <c r="J207" s="38">
        <v>210</v>
      </c>
      <c r="K207" s="35" t="s">
        <v>19</v>
      </c>
      <c r="L207" s="35" t="s">
        <v>20</v>
      </c>
      <c r="M207" s="38">
        <f t="shared" si="3"/>
        <v>16170</v>
      </c>
    </row>
    <row r="208" ht="15.75" spans="1:13">
      <c r="A208" s="35" t="s">
        <v>249</v>
      </c>
      <c r="B208" s="36">
        <v>46259</v>
      </c>
      <c r="C208" s="35" t="s">
        <v>52</v>
      </c>
      <c r="D208" s="35" t="s">
        <v>78</v>
      </c>
      <c r="E208" s="35" t="s">
        <v>48</v>
      </c>
      <c r="F208" s="35" t="s">
        <v>28</v>
      </c>
      <c r="G208" s="35" t="s">
        <v>49</v>
      </c>
      <c r="H208" s="35" t="s">
        <v>18</v>
      </c>
      <c r="I208" s="37">
        <v>9</v>
      </c>
      <c r="J208" s="38">
        <v>145</v>
      </c>
      <c r="K208" s="35" t="s">
        <v>20</v>
      </c>
      <c r="L208" s="35" t="s">
        <v>20</v>
      </c>
      <c r="M208" s="38">
        <f t="shared" si="3"/>
        <v>1305</v>
      </c>
    </row>
    <row r="209" ht="15.75" spans="1:13">
      <c r="A209" s="35" t="s">
        <v>250</v>
      </c>
      <c r="B209" s="36">
        <v>46267</v>
      </c>
      <c r="C209" s="35" t="s">
        <v>26</v>
      </c>
      <c r="D209" s="35" t="s">
        <v>47</v>
      </c>
      <c r="E209" s="35" t="s">
        <v>48</v>
      </c>
      <c r="F209" s="35" t="s">
        <v>16</v>
      </c>
      <c r="G209" s="35" t="s">
        <v>49</v>
      </c>
      <c r="H209" s="35" t="s">
        <v>18</v>
      </c>
      <c r="I209" s="37">
        <v>13</v>
      </c>
      <c r="J209" s="38">
        <v>145</v>
      </c>
      <c r="K209" s="35" t="s">
        <v>20</v>
      </c>
      <c r="L209" s="35" t="s">
        <v>24</v>
      </c>
      <c r="M209" s="38">
        <f t="shared" si="3"/>
        <v>1885</v>
      </c>
    </row>
    <row r="210" ht="15.75" spans="1:13">
      <c r="A210" s="35" t="s">
        <v>251</v>
      </c>
      <c r="B210" s="36">
        <v>46227</v>
      </c>
      <c r="C210" s="35" t="s">
        <v>26</v>
      </c>
      <c r="D210" s="35" t="s">
        <v>14</v>
      </c>
      <c r="E210" s="35" t="s">
        <v>15</v>
      </c>
      <c r="F210" s="35" t="s">
        <v>16</v>
      </c>
      <c r="G210" s="35" t="s">
        <v>29</v>
      </c>
      <c r="H210" s="35" t="s">
        <v>30</v>
      </c>
      <c r="I210" s="37">
        <v>74</v>
      </c>
      <c r="J210" s="38">
        <v>26</v>
      </c>
      <c r="K210" s="35" t="s">
        <v>19</v>
      </c>
      <c r="L210" s="35" t="s">
        <v>24</v>
      </c>
      <c r="M210" s="38">
        <f t="shared" si="3"/>
        <v>1924</v>
      </c>
    </row>
    <row r="211" ht="15.75" spans="1:13">
      <c r="A211" s="35" t="s">
        <v>252</v>
      </c>
      <c r="B211" s="36">
        <v>46258</v>
      </c>
      <c r="C211" s="35" t="s">
        <v>22</v>
      </c>
      <c r="D211" s="35" t="s">
        <v>57</v>
      </c>
      <c r="E211" s="35" t="s">
        <v>15</v>
      </c>
      <c r="F211" s="35" t="s">
        <v>40</v>
      </c>
      <c r="G211" s="35" t="s">
        <v>49</v>
      </c>
      <c r="H211" s="35" t="s">
        <v>18</v>
      </c>
      <c r="I211" s="37">
        <v>30</v>
      </c>
      <c r="J211" s="38">
        <v>145</v>
      </c>
      <c r="K211" s="35" t="s">
        <v>19</v>
      </c>
      <c r="L211" s="35" t="s">
        <v>24</v>
      </c>
      <c r="M211" s="38">
        <f t="shared" si="3"/>
        <v>4350</v>
      </c>
    </row>
    <row r="212" ht="15.75" spans="1:13">
      <c r="A212" s="35" t="s">
        <v>253</v>
      </c>
      <c r="B212" s="36">
        <v>46259</v>
      </c>
      <c r="C212" s="35" t="s">
        <v>26</v>
      </c>
      <c r="D212" s="35" t="s">
        <v>39</v>
      </c>
      <c r="E212" s="35" t="s">
        <v>15</v>
      </c>
      <c r="F212" s="35" t="s">
        <v>40</v>
      </c>
      <c r="G212" s="35" t="s">
        <v>29</v>
      </c>
      <c r="H212" s="35" t="s">
        <v>30</v>
      </c>
      <c r="I212" s="37">
        <v>24</v>
      </c>
      <c r="J212" s="38">
        <v>26</v>
      </c>
      <c r="K212" s="35" t="s">
        <v>19</v>
      </c>
      <c r="L212" s="35" t="s">
        <v>20</v>
      </c>
      <c r="M212" s="38">
        <f t="shared" si="3"/>
        <v>624</v>
      </c>
    </row>
    <row r="213" ht="15.75" spans="1:13">
      <c r="A213" s="35" t="s">
        <v>254</v>
      </c>
      <c r="B213" s="36">
        <v>46290</v>
      </c>
      <c r="C213" s="35" t="s">
        <v>22</v>
      </c>
      <c r="D213" s="35" t="s">
        <v>39</v>
      </c>
      <c r="E213" s="35" t="s">
        <v>15</v>
      </c>
      <c r="F213" s="35" t="s">
        <v>40</v>
      </c>
      <c r="G213" s="35" t="s">
        <v>17</v>
      </c>
      <c r="H213" s="35" t="s">
        <v>18</v>
      </c>
      <c r="I213" s="37">
        <v>27</v>
      </c>
      <c r="J213" s="38">
        <v>260</v>
      </c>
      <c r="K213" s="35" t="s">
        <v>20</v>
      </c>
      <c r="L213" s="35" t="s">
        <v>24</v>
      </c>
      <c r="M213" s="38">
        <f t="shared" si="3"/>
        <v>7020</v>
      </c>
    </row>
    <row r="214" ht="15.75" spans="1:13">
      <c r="A214" s="35" t="s">
        <v>255</v>
      </c>
      <c r="B214" s="36">
        <v>46234</v>
      </c>
      <c r="C214" s="35" t="s">
        <v>26</v>
      </c>
      <c r="D214" s="35" t="s">
        <v>53</v>
      </c>
      <c r="E214" s="35" t="s">
        <v>48</v>
      </c>
      <c r="F214" s="35" t="s">
        <v>28</v>
      </c>
      <c r="G214" s="35" t="s">
        <v>29</v>
      </c>
      <c r="H214" s="35" t="s">
        <v>30</v>
      </c>
      <c r="I214" s="37">
        <v>40</v>
      </c>
      <c r="J214" s="38">
        <v>26</v>
      </c>
      <c r="K214" s="35" t="s">
        <v>19</v>
      </c>
      <c r="L214" s="35" t="s">
        <v>58</v>
      </c>
      <c r="M214" s="38">
        <f t="shared" si="3"/>
        <v>1040</v>
      </c>
    </row>
    <row r="215" ht="15.75" spans="1:13">
      <c r="A215" s="35" t="s">
        <v>256</v>
      </c>
      <c r="B215" s="36">
        <v>46251</v>
      </c>
      <c r="C215" s="35" t="s">
        <v>26</v>
      </c>
      <c r="D215" s="35" t="s">
        <v>39</v>
      </c>
      <c r="E215" s="35" t="s">
        <v>15</v>
      </c>
      <c r="F215" s="35" t="s">
        <v>40</v>
      </c>
      <c r="G215" s="35" t="s">
        <v>23</v>
      </c>
      <c r="H215" s="35" t="s">
        <v>18</v>
      </c>
      <c r="I215" s="37">
        <v>11</v>
      </c>
      <c r="J215" s="38">
        <v>175</v>
      </c>
      <c r="K215" s="35" t="s">
        <v>19</v>
      </c>
      <c r="L215" s="35" t="s">
        <v>24</v>
      </c>
      <c r="M215" s="38">
        <f t="shared" si="3"/>
        <v>1925</v>
      </c>
    </row>
    <row r="216" ht="15.75" spans="1:13">
      <c r="A216" s="35" t="s">
        <v>257</v>
      </c>
      <c r="B216" s="36">
        <v>46287</v>
      </c>
      <c r="C216" s="35" t="s">
        <v>26</v>
      </c>
      <c r="D216" s="35" t="s">
        <v>32</v>
      </c>
      <c r="E216" s="35" t="s">
        <v>33</v>
      </c>
      <c r="F216" s="35" t="s">
        <v>16</v>
      </c>
      <c r="G216" s="35" t="s">
        <v>23</v>
      </c>
      <c r="H216" s="35" t="s">
        <v>18</v>
      </c>
      <c r="I216" s="37">
        <v>25</v>
      </c>
      <c r="J216" s="38">
        <v>175</v>
      </c>
      <c r="K216" s="35" t="s">
        <v>19</v>
      </c>
      <c r="L216" s="35" t="s">
        <v>24</v>
      </c>
      <c r="M216" s="38">
        <f t="shared" si="3"/>
        <v>4375</v>
      </c>
    </row>
    <row r="217" ht="15.75" spans="1:13">
      <c r="A217" s="35" t="s">
        <v>258</v>
      </c>
      <c r="B217" s="36">
        <v>46275</v>
      </c>
      <c r="C217" s="35" t="s">
        <v>13</v>
      </c>
      <c r="D217" s="35" t="s">
        <v>32</v>
      </c>
      <c r="E217" s="35" t="s">
        <v>33</v>
      </c>
      <c r="F217" s="35" t="s">
        <v>16</v>
      </c>
      <c r="G217" s="35" t="s">
        <v>35</v>
      </c>
      <c r="H217" s="35" t="s">
        <v>30</v>
      </c>
      <c r="I217" s="37">
        <v>35</v>
      </c>
      <c r="J217" s="38">
        <v>210</v>
      </c>
      <c r="K217" s="35" t="s">
        <v>19</v>
      </c>
      <c r="L217" s="35" t="s">
        <v>24</v>
      </c>
      <c r="M217" s="38">
        <f t="shared" si="3"/>
        <v>7350</v>
      </c>
    </row>
    <row r="218" ht="15.75" spans="1:13">
      <c r="A218" s="35" t="s">
        <v>259</v>
      </c>
      <c r="B218" s="36">
        <v>46266</v>
      </c>
      <c r="C218" s="35" t="s">
        <v>22</v>
      </c>
      <c r="D218" s="35" t="s">
        <v>42</v>
      </c>
      <c r="E218" s="35" t="s">
        <v>15</v>
      </c>
      <c r="F218" s="35" t="s">
        <v>40</v>
      </c>
      <c r="G218" s="35" t="s">
        <v>45</v>
      </c>
      <c r="H218" s="35" t="s">
        <v>18</v>
      </c>
      <c r="I218" s="37">
        <v>20</v>
      </c>
      <c r="J218" s="38">
        <v>185</v>
      </c>
      <c r="K218" s="35" t="s">
        <v>19</v>
      </c>
      <c r="L218" s="35" t="s">
        <v>20</v>
      </c>
      <c r="M218" s="38">
        <f t="shared" si="3"/>
        <v>3700</v>
      </c>
    </row>
    <row r="219" ht="15.75" spans="1:13">
      <c r="A219" s="35" t="s">
        <v>260</v>
      </c>
      <c r="B219" s="36">
        <v>46291</v>
      </c>
      <c r="C219" s="35" t="s">
        <v>26</v>
      </c>
      <c r="D219" s="35" t="s">
        <v>42</v>
      </c>
      <c r="E219" s="35" t="s">
        <v>15</v>
      </c>
      <c r="F219" s="35" t="s">
        <v>40</v>
      </c>
      <c r="G219" s="35" t="s">
        <v>45</v>
      </c>
      <c r="H219" s="35" t="s">
        <v>18</v>
      </c>
      <c r="I219" s="37">
        <v>30</v>
      </c>
      <c r="J219" s="38">
        <v>185</v>
      </c>
      <c r="K219" s="35" t="s">
        <v>19</v>
      </c>
      <c r="L219" s="35" t="s">
        <v>20</v>
      </c>
      <c r="M219" s="38">
        <f t="shared" si="3"/>
        <v>5550</v>
      </c>
    </row>
    <row r="220" ht="15.75" spans="1:13">
      <c r="A220" s="35" t="s">
        <v>261</v>
      </c>
      <c r="B220" s="36">
        <v>46224</v>
      </c>
      <c r="C220" s="35" t="s">
        <v>22</v>
      </c>
      <c r="D220" s="35" t="s">
        <v>37</v>
      </c>
      <c r="E220" s="35" t="s">
        <v>33</v>
      </c>
      <c r="F220" s="35" t="s">
        <v>16</v>
      </c>
      <c r="G220" s="35" t="s">
        <v>23</v>
      </c>
      <c r="H220" s="35" t="s">
        <v>18</v>
      </c>
      <c r="I220" s="37">
        <v>20</v>
      </c>
      <c r="J220" s="38">
        <v>175</v>
      </c>
      <c r="K220" s="35" t="s">
        <v>20</v>
      </c>
      <c r="L220" s="35" t="s">
        <v>24</v>
      </c>
      <c r="M220" s="38">
        <f t="shared" si="3"/>
        <v>3500</v>
      </c>
    </row>
    <row r="221" ht="15.75" spans="1:13">
      <c r="A221" s="35" t="s">
        <v>262</v>
      </c>
      <c r="B221" s="36">
        <v>46267</v>
      </c>
      <c r="C221" s="35" t="s">
        <v>13</v>
      </c>
      <c r="D221" s="35" t="s">
        <v>14</v>
      </c>
      <c r="E221" s="35" t="s">
        <v>15</v>
      </c>
      <c r="F221" s="35" t="s">
        <v>16</v>
      </c>
      <c r="G221" s="35" t="s">
        <v>45</v>
      </c>
      <c r="H221" s="35" t="s">
        <v>18</v>
      </c>
      <c r="I221" s="37">
        <v>10</v>
      </c>
      <c r="J221" s="38">
        <v>185</v>
      </c>
      <c r="K221" s="35" t="s">
        <v>19</v>
      </c>
      <c r="L221" s="35" t="s">
        <v>24</v>
      </c>
      <c r="M221" s="38">
        <f t="shared" si="3"/>
        <v>1850</v>
      </c>
    </row>
    <row r="222" ht="15.75" spans="1:13">
      <c r="A222" s="35" t="s">
        <v>263</v>
      </c>
      <c r="B222" s="36">
        <v>46215</v>
      </c>
      <c r="C222" s="35" t="s">
        <v>13</v>
      </c>
      <c r="D222" s="35" t="s">
        <v>42</v>
      </c>
      <c r="E222" s="35" t="s">
        <v>15</v>
      </c>
      <c r="F222" s="35" t="s">
        <v>40</v>
      </c>
      <c r="G222" s="35" t="s">
        <v>23</v>
      </c>
      <c r="H222" s="35" t="s">
        <v>18</v>
      </c>
      <c r="I222" s="37">
        <v>10</v>
      </c>
      <c r="J222" s="38">
        <v>175</v>
      </c>
      <c r="K222" s="35" t="s">
        <v>19</v>
      </c>
      <c r="L222" s="35" t="s">
        <v>58</v>
      </c>
      <c r="M222" s="38">
        <f t="shared" si="3"/>
        <v>1750</v>
      </c>
    </row>
    <row r="223" ht="15.75" spans="1:13">
      <c r="A223" s="35" t="s">
        <v>264</v>
      </c>
      <c r="B223" s="36">
        <v>46277</v>
      </c>
      <c r="C223" s="35" t="s">
        <v>13</v>
      </c>
      <c r="D223" s="35" t="s">
        <v>42</v>
      </c>
      <c r="E223" s="35" t="s">
        <v>15</v>
      </c>
      <c r="F223" s="35" t="s">
        <v>40</v>
      </c>
      <c r="G223" s="35" t="s">
        <v>23</v>
      </c>
      <c r="H223" s="35" t="s">
        <v>18</v>
      </c>
      <c r="I223" s="37">
        <v>28</v>
      </c>
      <c r="J223" s="38">
        <v>175</v>
      </c>
      <c r="K223" s="35" t="s">
        <v>19</v>
      </c>
      <c r="L223" s="35" t="s">
        <v>24</v>
      </c>
      <c r="M223" s="38">
        <f t="shared" si="3"/>
        <v>4900</v>
      </c>
    </row>
    <row r="224" ht="15.75" spans="1:13">
      <c r="A224" s="35" t="s">
        <v>265</v>
      </c>
      <c r="B224" s="36">
        <v>46248</v>
      </c>
      <c r="C224" s="35" t="s">
        <v>22</v>
      </c>
      <c r="D224" s="35" t="s">
        <v>14</v>
      </c>
      <c r="E224" s="35" t="s">
        <v>15</v>
      </c>
      <c r="F224" s="35" t="s">
        <v>16</v>
      </c>
      <c r="G224" s="35" t="s">
        <v>35</v>
      </c>
      <c r="H224" s="35" t="s">
        <v>30</v>
      </c>
      <c r="I224" s="37">
        <v>31</v>
      </c>
      <c r="J224" s="38">
        <v>210</v>
      </c>
      <c r="K224" s="35" t="s">
        <v>20</v>
      </c>
      <c r="L224" s="35" t="s">
        <v>20</v>
      </c>
      <c r="M224" s="38">
        <f t="shared" si="3"/>
        <v>6510</v>
      </c>
    </row>
    <row r="225" ht="15.75" spans="1:13">
      <c r="A225" s="35" t="s">
        <v>266</v>
      </c>
      <c r="B225" s="36">
        <v>46211</v>
      </c>
      <c r="C225" s="35" t="s">
        <v>13</v>
      </c>
      <c r="D225" s="35" t="s">
        <v>53</v>
      </c>
      <c r="E225" s="35" t="s">
        <v>48</v>
      </c>
      <c r="F225" s="35" t="s">
        <v>28</v>
      </c>
      <c r="G225" s="35" t="s">
        <v>45</v>
      </c>
      <c r="H225" s="35" t="s">
        <v>18</v>
      </c>
      <c r="I225" s="37">
        <v>10</v>
      </c>
      <c r="J225" s="38">
        <v>185</v>
      </c>
      <c r="K225" s="35" t="s">
        <v>19</v>
      </c>
      <c r="L225" s="35" t="s">
        <v>24</v>
      </c>
      <c r="M225" s="38">
        <f t="shared" si="3"/>
        <v>1850</v>
      </c>
    </row>
    <row r="226" ht="15.75" spans="1:13">
      <c r="A226" s="35" t="s">
        <v>267</v>
      </c>
      <c r="B226" s="36">
        <v>46270</v>
      </c>
      <c r="C226" s="35" t="s">
        <v>26</v>
      </c>
      <c r="D226" s="35" t="s">
        <v>32</v>
      </c>
      <c r="E226" s="35" t="s">
        <v>33</v>
      </c>
      <c r="F226" s="35" t="s">
        <v>16</v>
      </c>
      <c r="G226" s="35" t="s">
        <v>49</v>
      </c>
      <c r="H226" s="35" t="s">
        <v>18</v>
      </c>
      <c r="I226" s="37">
        <v>16</v>
      </c>
      <c r="J226" s="38">
        <v>145</v>
      </c>
      <c r="K226" s="35" t="s">
        <v>20</v>
      </c>
      <c r="L226" s="35" t="s">
        <v>24</v>
      </c>
      <c r="M226" s="38">
        <f t="shared" si="3"/>
        <v>2320</v>
      </c>
    </row>
    <row r="227" ht="15.75" spans="1:13">
      <c r="A227" s="35" t="s">
        <v>268</v>
      </c>
      <c r="B227" s="36">
        <v>46282</v>
      </c>
      <c r="C227" s="35" t="s">
        <v>13</v>
      </c>
      <c r="D227" s="35" t="s">
        <v>37</v>
      </c>
      <c r="E227" s="35" t="s">
        <v>33</v>
      </c>
      <c r="F227" s="35" t="s">
        <v>16</v>
      </c>
      <c r="G227" s="35" t="s">
        <v>49</v>
      </c>
      <c r="H227" s="35" t="s">
        <v>18</v>
      </c>
      <c r="I227" s="37">
        <v>10</v>
      </c>
      <c r="J227" s="38">
        <v>145</v>
      </c>
      <c r="K227" s="35" t="s">
        <v>19</v>
      </c>
      <c r="L227" s="35" t="s">
        <v>24</v>
      </c>
      <c r="M227" s="38">
        <f t="shared" si="3"/>
        <v>1450</v>
      </c>
    </row>
    <row r="228" ht="15.75" spans="1:13">
      <c r="A228" s="35" t="s">
        <v>269</v>
      </c>
      <c r="B228" s="36">
        <v>46281</v>
      </c>
      <c r="C228" s="35" t="s">
        <v>26</v>
      </c>
      <c r="D228" s="35" t="s">
        <v>53</v>
      </c>
      <c r="E228" s="35" t="s">
        <v>48</v>
      </c>
      <c r="F228" s="35" t="s">
        <v>28</v>
      </c>
      <c r="G228" s="35" t="s">
        <v>45</v>
      </c>
      <c r="H228" s="35" t="s">
        <v>18</v>
      </c>
      <c r="I228" s="37">
        <v>12</v>
      </c>
      <c r="J228" s="38">
        <v>185</v>
      </c>
      <c r="K228" s="35" t="s">
        <v>20</v>
      </c>
      <c r="L228" s="35" t="s">
        <v>24</v>
      </c>
      <c r="M228" s="38">
        <f t="shared" si="3"/>
        <v>2220</v>
      </c>
    </row>
    <row r="229" ht="15.75" spans="1:13">
      <c r="A229" s="35" t="s">
        <v>270</v>
      </c>
      <c r="B229" s="36">
        <v>46277</v>
      </c>
      <c r="C229" s="35" t="s">
        <v>26</v>
      </c>
      <c r="D229" s="35" t="s">
        <v>39</v>
      </c>
      <c r="E229" s="35" t="s">
        <v>15</v>
      </c>
      <c r="F229" s="35" t="s">
        <v>40</v>
      </c>
      <c r="G229" s="35" t="s">
        <v>17</v>
      </c>
      <c r="H229" s="35" t="s">
        <v>18</v>
      </c>
      <c r="I229" s="37">
        <v>4</v>
      </c>
      <c r="J229" s="38">
        <v>260</v>
      </c>
      <c r="K229" s="35" t="s">
        <v>19</v>
      </c>
      <c r="L229" s="35" t="s">
        <v>20</v>
      </c>
      <c r="M229" s="38">
        <f t="shared" si="3"/>
        <v>1040</v>
      </c>
    </row>
    <row r="230" ht="15.75" spans="1:13">
      <c r="A230" s="35" t="s">
        <v>271</v>
      </c>
      <c r="B230" s="36">
        <v>46284</v>
      </c>
      <c r="C230" s="35" t="s">
        <v>26</v>
      </c>
      <c r="D230" s="35" t="s">
        <v>47</v>
      </c>
      <c r="E230" s="35" t="s">
        <v>48</v>
      </c>
      <c r="F230" s="35" t="s">
        <v>16</v>
      </c>
      <c r="G230" s="35" t="s">
        <v>23</v>
      </c>
      <c r="H230" s="35" t="s">
        <v>18</v>
      </c>
      <c r="I230" s="37">
        <v>3</v>
      </c>
      <c r="J230" s="38">
        <v>175</v>
      </c>
      <c r="K230" s="35" t="s">
        <v>19</v>
      </c>
      <c r="L230" s="35" t="s">
        <v>24</v>
      </c>
      <c r="M230" s="38">
        <f t="shared" si="3"/>
        <v>525</v>
      </c>
    </row>
    <row r="231" ht="15.75" spans="1:13">
      <c r="A231" s="35" t="s">
        <v>272</v>
      </c>
      <c r="B231" s="36">
        <v>46213</v>
      </c>
      <c r="C231" s="35" t="s">
        <v>13</v>
      </c>
      <c r="D231" s="35" t="s">
        <v>27</v>
      </c>
      <c r="E231" s="35" t="s">
        <v>15</v>
      </c>
      <c r="F231" s="35" t="s">
        <v>28</v>
      </c>
      <c r="G231" s="35" t="s">
        <v>29</v>
      </c>
      <c r="H231" s="35" t="s">
        <v>30</v>
      </c>
      <c r="I231" s="37">
        <v>27</v>
      </c>
      <c r="J231" s="38">
        <v>26</v>
      </c>
      <c r="K231" s="35" t="s">
        <v>19</v>
      </c>
      <c r="L231" s="35" t="s">
        <v>24</v>
      </c>
      <c r="M231" s="38">
        <f t="shared" si="3"/>
        <v>702</v>
      </c>
    </row>
    <row r="232" ht="15.75" spans="1:13">
      <c r="A232" s="35" t="s">
        <v>273</v>
      </c>
      <c r="B232" s="36">
        <v>46244</v>
      </c>
      <c r="C232" s="35" t="s">
        <v>26</v>
      </c>
      <c r="D232" s="35" t="s">
        <v>42</v>
      </c>
      <c r="E232" s="35" t="s">
        <v>15</v>
      </c>
      <c r="F232" s="35" t="s">
        <v>40</v>
      </c>
      <c r="G232" s="35" t="s">
        <v>45</v>
      </c>
      <c r="H232" s="35" t="s">
        <v>18</v>
      </c>
      <c r="I232" s="37">
        <v>23</v>
      </c>
      <c r="J232" s="38">
        <v>185</v>
      </c>
      <c r="K232" s="35" t="s">
        <v>20</v>
      </c>
      <c r="L232" s="35" t="s">
        <v>20</v>
      </c>
      <c r="M232" s="38">
        <f t="shared" si="3"/>
        <v>4255</v>
      </c>
    </row>
    <row r="233" ht="15.75" spans="1:13">
      <c r="A233" s="35" t="s">
        <v>274</v>
      </c>
      <c r="B233" s="36">
        <v>46217</v>
      </c>
      <c r="C233" s="35" t="s">
        <v>26</v>
      </c>
      <c r="D233" s="35" t="s">
        <v>47</v>
      </c>
      <c r="E233" s="35" t="s">
        <v>48</v>
      </c>
      <c r="F233" s="35" t="s">
        <v>16</v>
      </c>
      <c r="G233" s="35" t="s">
        <v>45</v>
      </c>
      <c r="H233" s="35" t="s">
        <v>18</v>
      </c>
      <c r="I233" s="37">
        <v>25</v>
      </c>
      <c r="J233" s="38">
        <v>185</v>
      </c>
      <c r="K233" s="35" t="s">
        <v>19</v>
      </c>
      <c r="L233" s="35" t="s">
        <v>24</v>
      </c>
      <c r="M233" s="38">
        <f t="shared" si="3"/>
        <v>4625</v>
      </c>
    </row>
    <row r="234" ht="15.75" spans="1:13">
      <c r="A234" s="35" t="s">
        <v>275</v>
      </c>
      <c r="B234" s="36">
        <v>46241</v>
      </c>
      <c r="C234" s="35" t="s">
        <v>52</v>
      </c>
      <c r="D234" s="35" t="s">
        <v>42</v>
      </c>
      <c r="E234" s="35" t="s">
        <v>15</v>
      </c>
      <c r="F234" s="35" t="s">
        <v>40</v>
      </c>
      <c r="G234" s="35" t="s">
        <v>45</v>
      </c>
      <c r="H234" s="35" t="s">
        <v>18</v>
      </c>
      <c r="I234" s="37">
        <v>11</v>
      </c>
      <c r="J234" s="38">
        <v>185</v>
      </c>
      <c r="K234" s="35" t="s">
        <v>20</v>
      </c>
      <c r="L234" s="35" t="s">
        <v>24</v>
      </c>
      <c r="M234" s="38">
        <f t="shared" si="3"/>
        <v>2035</v>
      </c>
    </row>
    <row r="235" ht="15.75" spans="1:13">
      <c r="A235" s="35" t="s">
        <v>276</v>
      </c>
      <c r="B235" s="36">
        <v>46224</v>
      </c>
      <c r="C235" s="35" t="s">
        <v>52</v>
      </c>
      <c r="D235" s="35" t="s">
        <v>32</v>
      </c>
      <c r="E235" s="35" t="s">
        <v>33</v>
      </c>
      <c r="F235" s="35" t="s">
        <v>16</v>
      </c>
      <c r="G235" s="35" t="s">
        <v>49</v>
      </c>
      <c r="H235" s="35" t="s">
        <v>18</v>
      </c>
      <c r="I235" s="37">
        <v>22</v>
      </c>
      <c r="J235" s="38">
        <v>145</v>
      </c>
      <c r="K235" s="35" t="s">
        <v>20</v>
      </c>
      <c r="L235" s="35" t="s">
        <v>24</v>
      </c>
      <c r="M235" s="38">
        <f t="shared" si="3"/>
        <v>3190</v>
      </c>
    </row>
    <row r="236" ht="15.75" spans="1:13">
      <c r="A236" s="35" t="s">
        <v>277</v>
      </c>
      <c r="B236" s="36">
        <v>46254</v>
      </c>
      <c r="C236" s="35" t="s">
        <v>52</v>
      </c>
      <c r="D236" s="35" t="s">
        <v>57</v>
      </c>
      <c r="E236" s="35" t="s">
        <v>15</v>
      </c>
      <c r="F236" s="35" t="s">
        <v>40</v>
      </c>
      <c r="G236" s="35" t="s">
        <v>35</v>
      </c>
      <c r="H236" s="35" t="s">
        <v>30</v>
      </c>
      <c r="I236" s="37">
        <v>3</v>
      </c>
      <c r="J236" s="38">
        <v>210</v>
      </c>
      <c r="K236" s="35" t="s">
        <v>20</v>
      </c>
      <c r="L236" s="35" t="s">
        <v>24</v>
      </c>
      <c r="M236" s="38">
        <f t="shared" si="3"/>
        <v>630</v>
      </c>
    </row>
    <row r="237" ht="15.75" spans="1:13">
      <c r="A237" s="35" t="s">
        <v>278</v>
      </c>
      <c r="B237" s="36">
        <v>46280</v>
      </c>
      <c r="C237" s="35" t="s">
        <v>52</v>
      </c>
      <c r="D237" s="35" t="s">
        <v>78</v>
      </c>
      <c r="E237" s="35" t="s">
        <v>48</v>
      </c>
      <c r="F237" s="35" t="s">
        <v>28</v>
      </c>
      <c r="G237" s="35" t="s">
        <v>17</v>
      </c>
      <c r="H237" s="35" t="s">
        <v>18</v>
      </c>
      <c r="I237" s="37">
        <v>5</v>
      </c>
      <c r="J237" s="38">
        <v>260</v>
      </c>
      <c r="K237" s="35" t="s">
        <v>19</v>
      </c>
      <c r="L237" s="35" t="s">
        <v>24</v>
      </c>
      <c r="M237" s="38">
        <f t="shared" si="3"/>
        <v>1300</v>
      </c>
    </row>
    <row r="238" ht="15.75" spans="1:13">
      <c r="A238" s="35" t="s">
        <v>279</v>
      </c>
      <c r="B238" s="36">
        <v>46250</v>
      </c>
      <c r="C238" s="35" t="s">
        <v>52</v>
      </c>
      <c r="D238" s="35" t="s">
        <v>14</v>
      </c>
      <c r="E238" s="35" t="s">
        <v>15</v>
      </c>
      <c r="F238" s="35" t="s">
        <v>16</v>
      </c>
      <c r="G238" s="35" t="s">
        <v>35</v>
      </c>
      <c r="H238" s="35" t="s">
        <v>30</v>
      </c>
      <c r="I238" s="37">
        <v>10</v>
      </c>
      <c r="J238" s="38">
        <v>210</v>
      </c>
      <c r="K238" s="35" t="s">
        <v>19</v>
      </c>
      <c r="L238" s="35" t="s">
        <v>24</v>
      </c>
      <c r="M238" s="38">
        <f t="shared" si="3"/>
        <v>2100</v>
      </c>
    </row>
    <row r="239" ht="15.75" spans="1:13">
      <c r="A239" s="35" t="s">
        <v>280</v>
      </c>
      <c r="B239" s="36">
        <v>46240</v>
      </c>
      <c r="C239" s="35" t="s">
        <v>13</v>
      </c>
      <c r="D239" s="35" t="s">
        <v>53</v>
      </c>
      <c r="E239" s="35" t="s">
        <v>48</v>
      </c>
      <c r="F239" s="35" t="s">
        <v>28</v>
      </c>
      <c r="G239" s="35" t="s">
        <v>23</v>
      </c>
      <c r="H239" s="35" t="s">
        <v>18</v>
      </c>
      <c r="I239" s="37">
        <v>14</v>
      </c>
      <c r="J239" s="38">
        <v>175</v>
      </c>
      <c r="K239" s="35" t="s">
        <v>19</v>
      </c>
      <c r="L239" s="35" t="s">
        <v>24</v>
      </c>
      <c r="M239" s="38">
        <f t="shared" si="3"/>
        <v>2450</v>
      </c>
    </row>
    <row r="240" ht="15.75" spans="1:13">
      <c r="A240" s="35" t="s">
        <v>281</v>
      </c>
      <c r="B240" s="36">
        <v>46216</v>
      </c>
      <c r="C240" s="35" t="s">
        <v>52</v>
      </c>
      <c r="D240" s="35" t="s">
        <v>37</v>
      </c>
      <c r="E240" s="35" t="s">
        <v>33</v>
      </c>
      <c r="F240" s="35" t="s">
        <v>16</v>
      </c>
      <c r="G240" s="35" t="s">
        <v>49</v>
      </c>
      <c r="H240" s="35" t="s">
        <v>18</v>
      </c>
      <c r="I240" s="37">
        <v>9</v>
      </c>
      <c r="J240" s="38">
        <v>145</v>
      </c>
      <c r="K240" s="35" t="s">
        <v>19</v>
      </c>
      <c r="L240" s="35" t="s">
        <v>58</v>
      </c>
      <c r="M240" s="38">
        <f t="shared" si="3"/>
        <v>1305</v>
      </c>
    </row>
    <row r="241" ht="15.75" spans="1:13">
      <c r="A241" s="35" t="s">
        <v>282</v>
      </c>
      <c r="B241" s="36">
        <v>46269</v>
      </c>
      <c r="C241" s="35" t="s">
        <v>52</v>
      </c>
      <c r="D241" s="35" t="s">
        <v>37</v>
      </c>
      <c r="E241" s="35" t="s">
        <v>33</v>
      </c>
      <c r="F241" s="35" t="s">
        <v>16</v>
      </c>
      <c r="G241" s="35" t="s">
        <v>49</v>
      </c>
      <c r="H241" s="35" t="s">
        <v>18</v>
      </c>
      <c r="I241" s="37">
        <v>11</v>
      </c>
      <c r="J241" s="38">
        <v>145</v>
      </c>
      <c r="K241" s="35" t="s">
        <v>19</v>
      </c>
      <c r="L241" s="35" t="s">
        <v>24</v>
      </c>
      <c r="M241" s="38">
        <f t="shared" si="3"/>
        <v>1595</v>
      </c>
    </row>
    <row r="242" ht="15.75" spans="1:13">
      <c r="A242" s="35" t="s">
        <v>283</v>
      </c>
      <c r="B242" s="36">
        <v>46270</v>
      </c>
      <c r="C242" s="35" t="s">
        <v>52</v>
      </c>
      <c r="D242" s="35" t="s">
        <v>32</v>
      </c>
      <c r="E242" s="35" t="s">
        <v>33</v>
      </c>
      <c r="F242" s="35" t="s">
        <v>16</v>
      </c>
      <c r="G242" s="35" t="s">
        <v>29</v>
      </c>
      <c r="H242" s="35" t="s">
        <v>30</v>
      </c>
      <c r="I242" s="37">
        <v>23</v>
      </c>
      <c r="J242" s="38">
        <v>26</v>
      </c>
      <c r="K242" s="35" t="s">
        <v>19</v>
      </c>
      <c r="L242" s="35" t="s">
        <v>20</v>
      </c>
      <c r="M242" s="38">
        <f t="shared" si="3"/>
        <v>598</v>
      </c>
    </row>
    <row r="243" ht="15.75" spans="1:13">
      <c r="A243" s="35" t="s">
        <v>284</v>
      </c>
      <c r="B243" s="36">
        <v>46282</v>
      </c>
      <c r="C243" s="35" t="s">
        <v>26</v>
      </c>
      <c r="D243" s="35" t="s">
        <v>32</v>
      </c>
      <c r="E243" s="35" t="s">
        <v>33</v>
      </c>
      <c r="F243" s="35" t="s">
        <v>16</v>
      </c>
      <c r="G243" s="35" t="s">
        <v>49</v>
      </c>
      <c r="H243" s="35" t="s">
        <v>18</v>
      </c>
      <c r="I243" s="37">
        <v>22</v>
      </c>
      <c r="J243" s="38">
        <v>145</v>
      </c>
      <c r="K243" s="35" t="s">
        <v>19</v>
      </c>
      <c r="L243" s="35" t="s">
        <v>24</v>
      </c>
      <c r="M243" s="38">
        <f t="shared" si="3"/>
        <v>3190</v>
      </c>
    </row>
    <row r="244" ht="15.75" spans="1:13">
      <c r="A244" s="35" t="s">
        <v>285</v>
      </c>
      <c r="B244" s="36">
        <v>46242</v>
      </c>
      <c r="C244" s="35" t="s">
        <v>52</v>
      </c>
      <c r="D244" s="35" t="s">
        <v>37</v>
      </c>
      <c r="E244" s="35" t="s">
        <v>33</v>
      </c>
      <c r="F244" s="35" t="s">
        <v>16</v>
      </c>
      <c r="G244" s="35" t="s">
        <v>23</v>
      </c>
      <c r="H244" s="35" t="s">
        <v>18</v>
      </c>
      <c r="I244" s="37">
        <v>33</v>
      </c>
      <c r="J244" s="38">
        <v>175</v>
      </c>
      <c r="K244" s="35" t="s">
        <v>20</v>
      </c>
      <c r="L244" s="35" t="s">
        <v>24</v>
      </c>
      <c r="M244" s="38">
        <f t="shared" si="3"/>
        <v>5775</v>
      </c>
    </row>
    <row r="245" ht="15.75" spans="1:13">
      <c r="A245" s="35" t="s">
        <v>286</v>
      </c>
      <c r="B245" s="36">
        <v>46292</v>
      </c>
      <c r="C245" s="35" t="s">
        <v>13</v>
      </c>
      <c r="D245" s="35" t="s">
        <v>14</v>
      </c>
      <c r="E245" s="35" t="s">
        <v>15</v>
      </c>
      <c r="F245" s="35" t="s">
        <v>16</v>
      </c>
      <c r="G245" s="35" t="s">
        <v>35</v>
      </c>
      <c r="H245" s="35" t="s">
        <v>30</v>
      </c>
      <c r="I245" s="37">
        <v>21</v>
      </c>
      <c r="J245" s="38">
        <v>210</v>
      </c>
      <c r="K245" s="35" t="s">
        <v>19</v>
      </c>
      <c r="L245" s="35" t="s">
        <v>24</v>
      </c>
      <c r="M245" s="38">
        <f t="shared" si="3"/>
        <v>4410</v>
      </c>
    </row>
    <row r="246" ht="15.75" spans="1:13">
      <c r="A246" s="35" t="s">
        <v>287</v>
      </c>
      <c r="B246" s="36">
        <v>46278</v>
      </c>
      <c r="C246" s="35" t="s">
        <v>52</v>
      </c>
      <c r="D246" s="35" t="s">
        <v>53</v>
      </c>
      <c r="E246" s="35" t="s">
        <v>48</v>
      </c>
      <c r="F246" s="35" t="s">
        <v>28</v>
      </c>
      <c r="G246" s="35" t="s">
        <v>23</v>
      </c>
      <c r="H246" s="35" t="s">
        <v>18</v>
      </c>
      <c r="I246" s="37">
        <v>16</v>
      </c>
      <c r="J246" s="38">
        <v>175</v>
      </c>
      <c r="K246" s="35" t="s">
        <v>19</v>
      </c>
      <c r="L246" s="35" t="s">
        <v>24</v>
      </c>
      <c r="M246" s="38">
        <f t="shared" si="3"/>
        <v>2800</v>
      </c>
    </row>
    <row r="247" ht="15.75" spans="1:13">
      <c r="A247" s="35" t="s">
        <v>288</v>
      </c>
      <c r="B247" s="36">
        <v>46235</v>
      </c>
      <c r="C247" s="35" t="s">
        <v>13</v>
      </c>
      <c r="D247" s="35" t="s">
        <v>53</v>
      </c>
      <c r="E247" s="35" t="s">
        <v>48</v>
      </c>
      <c r="F247" s="35" t="s">
        <v>28</v>
      </c>
      <c r="G247" s="35" t="s">
        <v>35</v>
      </c>
      <c r="H247" s="35" t="s">
        <v>30</v>
      </c>
      <c r="I247" s="37">
        <v>11</v>
      </c>
      <c r="J247" s="38">
        <v>210</v>
      </c>
      <c r="K247" s="35" t="s">
        <v>19</v>
      </c>
      <c r="L247" s="35" t="s">
        <v>20</v>
      </c>
      <c r="M247" s="38">
        <f t="shared" si="3"/>
        <v>2310</v>
      </c>
    </row>
    <row r="248" ht="15.75" spans="1:13">
      <c r="A248" s="35" t="s">
        <v>289</v>
      </c>
      <c r="B248" s="36">
        <v>46223</v>
      </c>
      <c r="C248" s="35" t="s">
        <v>52</v>
      </c>
      <c r="D248" s="35" t="s">
        <v>27</v>
      </c>
      <c r="E248" s="35" t="s">
        <v>15</v>
      </c>
      <c r="F248" s="35" t="s">
        <v>28</v>
      </c>
      <c r="G248" s="35" t="s">
        <v>17</v>
      </c>
      <c r="H248" s="35" t="s">
        <v>18</v>
      </c>
      <c r="I248" s="37">
        <v>30</v>
      </c>
      <c r="J248" s="38">
        <v>260</v>
      </c>
      <c r="K248" s="35" t="s">
        <v>19</v>
      </c>
      <c r="L248" s="35" t="s">
        <v>24</v>
      </c>
      <c r="M248" s="38">
        <f t="shared" si="3"/>
        <v>7800</v>
      </c>
    </row>
    <row r="249" ht="15.75" spans="1:13">
      <c r="A249" s="35" t="s">
        <v>290</v>
      </c>
      <c r="B249" s="36">
        <v>46270</v>
      </c>
      <c r="C249" s="35" t="s">
        <v>22</v>
      </c>
      <c r="D249" s="35" t="s">
        <v>53</v>
      </c>
      <c r="E249" s="35" t="s">
        <v>48</v>
      </c>
      <c r="F249" s="35" t="s">
        <v>28</v>
      </c>
      <c r="G249" s="35" t="s">
        <v>35</v>
      </c>
      <c r="H249" s="35" t="s">
        <v>30</v>
      </c>
      <c r="I249" s="37">
        <v>5</v>
      </c>
      <c r="J249" s="38">
        <v>210</v>
      </c>
      <c r="K249" s="35" t="s">
        <v>19</v>
      </c>
      <c r="L249" s="35" t="s">
        <v>58</v>
      </c>
      <c r="M249" s="38">
        <f t="shared" si="3"/>
        <v>1050</v>
      </c>
    </row>
    <row r="250" ht="15.75" spans="1:13">
      <c r="A250" s="35" t="s">
        <v>291</v>
      </c>
      <c r="B250" s="36">
        <v>46226</v>
      </c>
      <c r="C250" s="35" t="s">
        <v>52</v>
      </c>
      <c r="D250" s="35" t="s">
        <v>42</v>
      </c>
      <c r="E250" s="35" t="s">
        <v>15</v>
      </c>
      <c r="F250" s="35" t="s">
        <v>40</v>
      </c>
      <c r="G250" s="35" t="s">
        <v>23</v>
      </c>
      <c r="H250" s="35" t="s">
        <v>18</v>
      </c>
      <c r="I250" s="37">
        <v>26</v>
      </c>
      <c r="J250" s="38">
        <v>175</v>
      </c>
      <c r="K250" s="35" t="s">
        <v>20</v>
      </c>
      <c r="L250" s="35" t="s">
        <v>24</v>
      </c>
      <c r="M250" s="38">
        <f t="shared" si="3"/>
        <v>4550</v>
      </c>
    </row>
    <row r="251" ht="15.75" spans="1:13">
      <c r="A251" s="35" t="s">
        <v>292</v>
      </c>
      <c r="B251" s="36">
        <v>46228</v>
      </c>
      <c r="C251" s="35" t="s">
        <v>22</v>
      </c>
      <c r="D251" s="35" t="s">
        <v>78</v>
      </c>
      <c r="E251" s="35" t="s">
        <v>48</v>
      </c>
      <c r="F251" s="35" t="s">
        <v>28</v>
      </c>
      <c r="G251" s="35" t="s">
        <v>29</v>
      </c>
      <c r="H251" s="35" t="s">
        <v>30</v>
      </c>
      <c r="I251" s="37">
        <v>18</v>
      </c>
      <c r="J251" s="38">
        <v>26</v>
      </c>
      <c r="K251" s="35" t="s">
        <v>19</v>
      </c>
      <c r="L251" s="35" t="s">
        <v>24</v>
      </c>
      <c r="M251" s="38">
        <f t="shared" si="3"/>
        <v>468</v>
      </c>
    </row>
    <row r="252" ht="15.75" spans="1:13">
      <c r="A252" s="35" t="s">
        <v>293</v>
      </c>
      <c r="B252" s="36">
        <v>46266</v>
      </c>
      <c r="C252" s="35" t="s">
        <v>26</v>
      </c>
      <c r="D252" s="35" t="s">
        <v>57</v>
      </c>
      <c r="E252" s="35" t="s">
        <v>15</v>
      </c>
      <c r="F252" s="35" t="s">
        <v>40</v>
      </c>
      <c r="G252" s="35" t="s">
        <v>49</v>
      </c>
      <c r="H252" s="35" t="s">
        <v>18</v>
      </c>
      <c r="I252" s="37">
        <v>15</v>
      </c>
      <c r="J252" s="38">
        <v>145</v>
      </c>
      <c r="K252" s="35" t="s">
        <v>19</v>
      </c>
      <c r="L252" s="35" t="s">
        <v>24</v>
      </c>
      <c r="M252" s="38">
        <f t="shared" si="3"/>
        <v>2175</v>
      </c>
    </row>
    <row r="253" ht="15.75" spans="1:13">
      <c r="A253" s="35" t="s">
        <v>294</v>
      </c>
      <c r="B253" s="36">
        <v>46273</v>
      </c>
      <c r="C253" s="35" t="s">
        <v>52</v>
      </c>
      <c r="D253" s="35" t="s">
        <v>57</v>
      </c>
      <c r="E253" s="35" t="s">
        <v>15</v>
      </c>
      <c r="F253" s="35" t="s">
        <v>40</v>
      </c>
      <c r="G253" s="35" t="s">
        <v>49</v>
      </c>
      <c r="H253" s="35" t="s">
        <v>18</v>
      </c>
      <c r="I253" s="37">
        <v>9</v>
      </c>
      <c r="J253" s="38">
        <v>145</v>
      </c>
      <c r="K253" s="35" t="s">
        <v>20</v>
      </c>
      <c r="L253" s="35" t="s">
        <v>24</v>
      </c>
      <c r="M253" s="38">
        <f t="shared" si="3"/>
        <v>1305</v>
      </c>
    </row>
    <row r="254" ht="15.75" spans="1:13">
      <c r="A254" s="35" t="s">
        <v>295</v>
      </c>
      <c r="B254" s="36">
        <v>46248</v>
      </c>
      <c r="C254" s="35" t="s">
        <v>52</v>
      </c>
      <c r="D254" s="35" t="s">
        <v>78</v>
      </c>
      <c r="E254" s="35" t="s">
        <v>48</v>
      </c>
      <c r="F254" s="35" t="s">
        <v>28</v>
      </c>
      <c r="G254" s="35" t="s">
        <v>45</v>
      </c>
      <c r="H254" s="35" t="s">
        <v>18</v>
      </c>
      <c r="I254" s="37">
        <v>41</v>
      </c>
      <c r="J254" s="38">
        <v>185</v>
      </c>
      <c r="K254" s="35" t="s">
        <v>19</v>
      </c>
      <c r="L254" s="35" t="s">
        <v>20</v>
      </c>
      <c r="M254" s="38">
        <f t="shared" si="3"/>
        <v>7585</v>
      </c>
    </row>
    <row r="255" ht="15.75" spans="1:13">
      <c r="A255" s="35" t="s">
        <v>296</v>
      </c>
      <c r="B255" s="36">
        <v>46293</v>
      </c>
      <c r="C255" s="35" t="s">
        <v>26</v>
      </c>
      <c r="D255" s="35" t="s">
        <v>27</v>
      </c>
      <c r="E255" s="35" t="s">
        <v>15</v>
      </c>
      <c r="F255" s="35" t="s">
        <v>28</v>
      </c>
      <c r="G255" s="35" t="s">
        <v>45</v>
      </c>
      <c r="H255" s="35" t="s">
        <v>18</v>
      </c>
      <c r="I255" s="37">
        <v>19</v>
      </c>
      <c r="J255" s="38">
        <v>185</v>
      </c>
      <c r="K255" s="35" t="s">
        <v>19</v>
      </c>
      <c r="L255" s="35" t="s">
        <v>24</v>
      </c>
      <c r="M255" s="38">
        <f t="shared" si="3"/>
        <v>3515</v>
      </c>
    </row>
    <row r="256" ht="15.75" spans="1:13">
      <c r="A256" s="35" t="s">
        <v>297</v>
      </c>
      <c r="B256" s="36">
        <v>46232</v>
      </c>
      <c r="C256" s="35" t="s">
        <v>22</v>
      </c>
      <c r="D256" s="35" t="s">
        <v>53</v>
      </c>
      <c r="E256" s="35" t="s">
        <v>48</v>
      </c>
      <c r="F256" s="35" t="s">
        <v>28</v>
      </c>
      <c r="G256" s="35" t="s">
        <v>45</v>
      </c>
      <c r="H256" s="35" t="s">
        <v>18</v>
      </c>
      <c r="I256" s="37">
        <v>69</v>
      </c>
      <c r="J256" s="38">
        <v>185</v>
      </c>
      <c r="K256" s="35" t="s">
        <v>19</v>
      </c>
      <c r="L256" s="35" t="s">
        <v>24</v>
      </c>
      <c r="M256" s="38">
        <f t="shared" si="3"/>
        <v>12765</v>
      </c>
    </row>
    <row r="257" ht="15.75" spans="1:13">
      <c r="A257" s="35" t="s">
        <v>298</v>
      </c>
      <c r="B257" s="36">
        <v>46224</v>
      </c>
      <c r="C257" s="35" t="s">
        <v>52</v>
      </c>
      <c r="D257" s="35" t="s">
        <v>42</v>
      </c>
      <c r="E257" s="35" t="s">
        <v>15</v>
      </c>
      <c r="F257" s="35" t="s">
        <v>40</v>
      </c>
      <c r="G257" s="35" t="s">
        <v>17</v>
      </c>
      <c r="H257" s="35" t="s">
        <v>18</v>
      </c>
      <c r="I257" s="37">
        <v>71</v>
      </c>
      <c r="J257" s="38">
        <v>260</v>
      </c>
      <c r="K257" s="35" t="s">
        <v>19</v>
      </c>
      <c r="L257" s="35" t="s">
        <v>20</v>
      </c>
      <c r="M257" s="38">
        <f t="shared" si="3"/>
        <v>18460</v>
      </c>
    </row>
    <row r="258" ht="15.75" spans="1:13">
      <c r="A258" s="35" t="s">
        <v>299</v>
      </c>
      <c r="B258" s="36">
        <v>46240</v>
      </c>
      <c r="C258" s="35" t="s">
        <v>26</v>
      </c>
      <c r="D258" s="35" t="s">
        <v>42</v>
      </c>
      <c r="E258" s="35" t="s">
        <v>15</v>
      </c>
      <c r="F258" s="35" t="s">
        <v>40</v>
      </c>
      <c r="G258" s="35" t="s">
        <v>35</v>
      </c>
      <c r="H258" s="35" t="s">
        <v>30</v>
      </c>
      <c r="I258" s="37">
        <v>14</v>
      </c>
      <c r="J258" s="38">
        <v>210</v>
      </c>
      <c r="K258" s="35" t="s">
        <v>19</v>
      </c>
      <c r="L258" s="35" t="s">
        <v>24</v>
      </c>
      <c r="M258" s="38">
        <f t="shared" si="3"/>
        <v>2940</v>
      </c>
    </row>
    <row r="259" ht="15.75" spans="1:13">
      <c r="A259" s="35" t="s">
        <v>300</v>
      </c>
      <c r="B259" s="36">
        <v>46208</v>
      </c>
      <c r="C259" s="35" t="s">
        <v>22</v>
      </c>
      <c r="D259" s="35" t="s">
        <v>14</v>
      </c>
      <c r="E259" s="35" t="s">
        <v>15</v>
      </c>
      <c r="F259" s="35" t="s">
        <v>16</v>
      </c>
      <c r="G259" s="35" t="s">
        <v>29</v>
      </c>
      <c r="H259" s="35" t="s">
        <v>30</v>
      </c>
      <c r="I259" s="37">
        <v>16</v>
      </c>
      <c r="J259" s="38">
        <v>26</v>
      </c>
      <c r="K259" s="35" t="s">
        <v>19</v>
      </c>
      <c r="L259" s="35" t="s">
        <v>20</v>
      </c>
      <c r="M259" s="38">
        <f t="shared" ref="M259:M322" si="4">I259*J259</f>
        <v>416</v>
      </c>
    </row>
    <row r="260" ht="15.75" spans="1:13">
      <c r="A260" s="35" t="s">
        <v>301</v>
      </c>
      <c r="B260" s="36">
        <v>46241</v>
      </c>
      <c r="C260" s="35" t="s">
        <v>13</v>
      </c>
      <c r="D260" s="35" t="s">
        <v>39</v>
      </c>
      <c r="E260" s="35" t="s">
        <v>15</v>
      </c>
      <c r="F260" s="35" t="s">
        <v>40</v>
      </c>
      <c r="G260" s="35" t="s">
        <v>35</v>
      </c>
      <c r="H260" s="35" t="s">
        <v>30</v>
      </c>
      <c r="I260" s="37">
        <v>33</v>
      </c>
      <c r="J260" s="38">
        <v>210</v>
      </c>
      <c r="K260" s="35" t="s">
        <v>19</v>
      </c>
      <c r="L260" s="35" t="s">
        <v>24</v>
      </c>
      <c r="M260" s="38">
        <f t="shared" si="4"/>
        <v>6930</v>
      </c>
    </row>
    <row r="261" ht="15.75" spans="1:13">
      <c r="A261" s="35" t="s">
        <v>302</v>
      </c>
      <c r="B261" s="36">
        <v>46286</v>
      </c>
      <c r="C261" s="35" t="s">
        <v>52</v>
      </c>
      <c r="D261" s="35" t="s">
        <v>14</v>
      </c>
      <c r="E261" s="35" t="s">
        <v>15</v>
      </c>
      <c r="F261" s="35" t="s">
        <v>16</v>
      </c>
      <c r="G261" s="35" t="s">
        <v>49</v>
      </c>
      <c r="H261" s="35" t="s">
        <v>18</v>
      </c>
      <c r="I261" s="37">
        <v>20</v>
      </c>
      <c r="J261" s="38">
        <v>145</v>
      </c>
      <c r="K261" s="35" t="s">
        <v>20</v>
      </c>
      <c r="L261" s="35" t="s">
        <v>24</v>
      </c>
      <c r="M261" s="38">
        <f t="shared" si="4"/>
        <v>2900</v>
      </c>
    </row>
    <row r="262" ht="15.75" spans="1:13">
      <c r="A262" s="35" t="s">
        <v>303</v>
      </c>
      <c r="B262" s="36">
        <v>46218</v>
      </c>
      <c r="C262" s="35" t="s">
        <v>26</v>
      </c>
      <c r="D262" s="35" t="s">
        <v>37</v>
      </c>
      <c r="E262" s="35" t="s">
        <v>33</v>
      </c>
      <c r="F262" s="35" t="s">
        <v>16</v>
      </c>
      <c r="G262" s="35" t="s">
        <v>35</v>
      </c>
      <c r="H262" s="35" t="s">
        <v>30</v>
      </c>
      <c r="I262" s="37">
        <v>19</v>
      </c>
      <c r="J262" s="38">
        <v>210</v>
      </c>
      <c r="K262" s="35" t="s">
        <v>19</v>
      </c>
      <c r="L262" s="35" t="s">
        <v>24</v>
      </c>
      <c r="M262" s="38">
        <f t="shared" si="4"/>
        <v>3990</v>
      </c>
    </row>
    <row r="263" ht="15.75" spans="1:13">
      <c r="A263" s="35" t="s">
        <v>304</v>
      </c>
      <c r="B263" s="36">
        <v>46241</v>
      </c>
      <c r="C263" s="35" t="s">
        <v>22</v>
      </c>
      <c r="D263" s="35" t="s">
        <v>57</v>
      </c>
      <c r="E263" s="35" t="s">
        <v>15</v>
      </c>
      <c r="F263" s="35" t="s">
        <v>40</v>
      </c>
      <c r="G263" s="35" t="s">
        <v>29</v>
      </c>
      <c r="H263" s="35" t="s">
        <v>30</v>
      </c>
      <c r="I263" s="37">
        <v>57</v>
      </c>
      <c r="J263" s="38">
        <v>26</v>
      </c>
      <c r="K263" s="35" t="s">
        <v>19</v>
      </c>
      <c r="L263" s="35" t="s">
        <v>20</v>
      </c>
      <c r="M263" s="38">
        <f t="shared" si="4"/>
        <v>1482</v>
      </c>
    </row>
    <row r="264" ht="15.75" spans="1:13">
      <c r="A264" s="35" t="s">
        <v>305</v>
      </c>
      <c r="B264" s="36">
        <v>46255</v>
      </c>
      <c r="C264" s="35" t="s">
        <v>13</v>
      </c>
      <c r="D264" s="35" t="s">
        <v>47</v>
      </c>
      <c r="E264" s="35" t="s">
        <v>48</v>
      </c>
      <c r="F264" s="35" t="s">
        <v>16</v>
      </c>
      <c r="G264" s="35" t="s">
        <v>35</v>
      </c>
      <c r="H264" s="35" t="s">
        <v>30</v>
      </c>
      <c r="I264" s="37">
        <v>34</v>
      </c>
      <c r="J264" s="38">
        <v>210</v>
      </c>
      <c r="K264" s="35" t="s">
        <v>19</v>
      </c>
      <c r="L264" s="35" t="s">
        <v>24</v>
      </c>
      <c r="M264" s="38">
        <f t="shared" si="4"/>
        <v>7140</v>
      </c>
    </row>
    <row r="265" ht="15.75" spans="1:13">
      <c r="A265" s="35" t="s">
        <v>306</v>
      </c>
      <c r="B265" s="36">
        <v>46234</v>
      </c>
      <c r="C265" s="35" t="s">
        <v>52</v>
      </c>
      <c r="D265" s="35" t="s">
        <v>78</v>
      </c>
      <c r="E265" s="35" t="s">
        <v>48</v>
      </c>
      <c r="F265" s="35" t="s">
        <v>28</v>
      </c>
      <c r="G265" s="35" t="s">
        <v>45</v>
      </c>
      <c r="H265" s="35" t="s">
        <v>18</v>
      </c>
      <c r="I265" s="37">
        <v>2</v>
      </c>
      <c r="J265" s="38">
        <v>185</v>
      </c>
      <c r="K265" s="35" t="s">
        <v>20</v>
      </c>
      <c r="L265" s="35" t="s">
        <v>58</v>
      </c>
      <c r="M265" s="38">
        <f t="shared" si="4"/>
        <v>370</v>
      </c>
    </row>
    <row r="266" ht="15.75" spans="1:13">
      <c r="A266" s="35" t="s">
        <v>307</v>
      </c>
      <c r="B266" s="36">
        <v>46250</v>
      </c>
      <c r="C266" s="35" t="s">
        <v>22</v>
      </c>
      <c r="D266" s="35" t="s">
        <v>57</v>
      </c>
      <c r="E266" s="35" t="s">
        <v>15</v>
      </c>
      <c r="F266" s="35" t="s">
        <v>40</v>
      </c>
      <c r="G266" s="35" t="s">
        <v>23</v>
      </c>
      <c r="H266" s="35" t="s">
        <v>18</v>
      </c>
      <c r="I266" s="37">
        <v>2</v>
      </c>
      <c r="J266" s="38">
        <v>175</v>
      </c>
      <c r="K266" s="35" t="s">
        <v>19</v>
      </c>
      <c r="L266" s="35" t="s">
        <v>24</v>
      </c>
      <c r="M266" s="38">
        <f t="shared" si="4"/>
        <v>350</v>
      </c>
    </row>
    <row r="267" ht="15.75" spans="1:13">
      <c r="A267" s="35" t="s">
        <v>308</v>
      </c>
      <c r="B267" s="36">
        <v>46294</v>
      </c>
      <c r="C267" s="35" t="s">
        <v>26</v>
      </c>
      <c r="D267" s="35" t="s">
        <v>57</v>
      </c>
      <c r="E267" s="35" t="s">
        <v>15</v>
      </c>
      <c r="F267" s="35" t="s">
        <v>40</v>
      </c>
      <c r="G267" s="35" t="s">
        <v>45</v>
      </c>
      <c r="H267" s="35" t="s">
        <v>18</v>
      </c>
      <c r="I267" s="37">
        <v>27</v>
      </c>
      <c r="J267" s="38">
        <v>185</v>
      </c>
      <c r="K267" s="35" t="s">
        <v>19</v>
      </c>
      <c r="L267" s="35" t="s">
        <v>24</v>
      </c>
      <c r="M267" s="38">
        <f t="shared" si="4"/>
        <v>4995</v>
      </c>
    </row>
    <row r="268" ht="15.75" spans="1:13">
      <c r="A268" s="35" t="s">
        <v>309</v>
      </c>
      <c r="B268" s="36">
        <v>46221</v>
      </c>
      <c r="C268" s="35" t="s">
        <v>52</v>
      </c>
      <c r="D268" s="35" t="s">
        <v>57</v>
      </c>
      <c r="E268" s="35" t="s">
        <v>15</v>
      </c>
      <c r="F268" s="35" t="s">
        <v>40</v>
      </c>
      <c r="G268" s="35" t="s">
        <v>49</v>
      </c>
      <c r="H268" s="35" t="s">
        <v>18</v>
      </c>
      <c r="I268" s="37">
        <v>16</v>
      </c>
      <c r="J268" s="38">
        <v>145</v>
      </c>
      <c r="K268" s="35" t="s">
        <v>19</v>
      </c>
      <c r="L268" s="35" t="s">
        <v>20</v>
      </c>
      <c r="M268" s="38">
        <f t="shared" si="4"/>
        <v>2320</v>
      </c>
    </row>
    <row r="269" ht="15.75" spans="1:13">
      <c r="A269" s="35" t="s">
        <v>310</v>
      </c>
      <c r="B269" s="36">
        <v>46264</v>
      </c>
      <c r="C269" s="35" t="s">
        <v>22</v>
      </c>
      <c r="D269" s="35" t="s">
        <v>53</v>
      </c>
      <c r="E269" s="35" t="s">
        <v>48</v>
      </c>
      <c r="F269" s="35" t="s">
        <v>28</v>
      </c>
      <c r="G269" s="35" t="s">
        <v>49</v>
      </c>
      <c r="H269" s="35" t="s">
        <v>18</v>
      </c>
      <c r="I269" s="37">
        <v>28</v>
      </c>
      <c r="J269" s="38">
        <v>145</v>
      </c>
      <c r="K269" s="35" t="s">
        <v>20</v>
      </c>
      <c r="L269" s="35" t="s">
        <v>20</v>
      </c>
      <c r="M269" s="38">
        <f t="shared" si="4"/>
        <v>4060</v>
      </c>
    </row>
    <row r="270" ht="15.75" spans="1:13">
      <c r="A270" s="35" t="s">
        <v>311</v>
      </c>
      <c r="B270" s="36">
        <v>46294</v>
      </c>
      <c r="C270" s="35" t="s">
        <v>26</v>
      </c>
      <c r="D270" s="35" t="s">
        <v>53</v>
      </c>
      <c r="E270" s="35" t="s">
        <v>48</v>
      </c>
      <c r="F270" s="35" t="s">
        <v>28</v>
      </c>
      <c r="G270" s="35" t="s">
        <v>17</v>
      </c>
      <c r="H270" s="35" t="s">
        <v>18</v>
      </c>
      <c r="I270" s="37">
        <v>35</v>
      </c>
      <c r="J270" s="38">
        <v>260</v>
      </c>
      <c r="K270" s="35" t="s">
        <v>19</v>
      </c>
      <c r="L270" s="35" t="s">
        <v>24</v>
      </c>
      <c r="M270" s="38">
        <f t="shared" si="4"/>
        <v>9100</v>
      </c>
    </row>
    <row r="271" ht="15.75" spans="1:13">
      <c r="A271" s="35" t="s">
        <v>312</v>
      </c>
      <c r="B271" s="36">
        <v>46272</v>
      </c>
      <c r="C271" s="35" t="s">
        <v>22</v>
      </c>
      <c r="D271" s="35" t="s">
        <v>39</v>
      </c>
      <c r="E271" s="35" t="s">
        <v>15</v>
      </c>
      <c r="F271" s="35" t="s">
        <v>40</v>
      </c>
      <c r="G271" s="35" t="s">
        <v>23</v>
      </c>
      <c r="H271" s="35" t="s">
        <v>18</v>
      </c>
      <c r="I271" s="37">
        <v>34</v>
      </c>
      <c r="J271" s="38">
        <v>175</v>
      </c>
      <c r="K271" s="35" t="s">
        <v>19</v>
      </c>
      <c r="L271" s="35" t="s">
        <v>20</v>
      </c>
      <c r="M271" s="38">
        <f t="shared" si="4"/>
        <v>5950</v>
      </c>
    </row>
    <row r="272" ht="15.75" spans="1:13">
      <c r="A272" s="35" t="s">
        <v>313</v>
      </c>
      <c r="B272" s="36">
        <v>46266</v>
      </c>
      <c r="C272" s="35" t="s">
        <v>13</v>
      </c>
      <c r="D272" s="35" t="s">
        <v>42</v>
      </c>
      <c r="E272" s="35" t="s">
        <v>15</v>
      </c>
      <c r="F272" s="35" t="s">
        <v>40</v>
      </c>
      <c r="G272" s="35" t="s">
        <v>17</v>
      </c>
      <c r="H272" s="35" t="s">
        <v>18</v>
      </c>
      <c r="I272" s="37">
        <v>15</v>
      </c>
      <c r="J272" s="38">
        <v>260</v>
      </c>
      <c r="K272" s="35" t="s">
        <v>20</v>
      </c>
      <c r="L272" s="35" t="s">
        <v>24</v>
      </c>
      <c r="M272" s="38">
        <f t="shared" si="4"/>
        <v>3900</v>
      </c>
    </row>
    <row r="273" ht="15.75" spans="1:13">
      <c r="A273" s="35" t="s">
        <v>314</v>
      </c>
      <c r="B273" s="36">
        <v>46262</v>
      </c>
      <c r="C273" s="35" t="s">
        <v>13</v>
      </c>
      <c r="D273" s="35" t="s">
        <v>39</v>
      </c>
      <c r="E273" s="35" t="s">
        <v>15</v>
      </c>
      <c r="F273" s="35" t="s">
        <v>40</v>
      </c>
      <c r="G273" s="35" t="s">
        <v>35</v>
      </c>
      <c r="H273" s="35" t="s">
        <v>30</v>
      </c>
      <c r="I273" s="37">
        <v>10</v>
      </c>
      <c r="J273" s="38">
        <v>210</v>
      </c>
      <c r="K273" s="35" t="s">
        <v>19</v>
      </c>
      <c r="L273" s="35" t="s">
        <v>24</v>
      </c>
      <c r="M273" s="38">
        <f t="shared" si="4"/>
        <v>2100</v>
      </c>
    </row>
    <row r="274" ht="15.75" spans="1:13">
      <c r="A274" s="35" t="s">
        <v>315</v>
      </c>
      <c r="B274" s="36">
        <v>46204</v>
      </c>
      <c r="C274" s="35" t="s">
        <v>22</v>
      </c>
      <c r="D274" s="35" t="s">
        <v>57</v>
      </c>
      <c r="E274" s="35" t="s">
        <v>15</v>
      </c>
      <c r="F274" s="35" t="s">
        <v>40</v>
      </c>
      <c r="G274" s="35" t="s">
        <v>29</v>
      </c>
      <c r="H274" s="35" t="s">
        <v>30</v>
      </c>
      <c r="I274" s="37">
        <v>3</v>
      </c>
      <c r="J274" s="38">
        <v>26</v>
      </c>
      <c r="K274" s="35" t="s">
        <v>19</v>
      </c>
      <c r="L274" s="35" t="s">
        <v>24</v>
      </c>
      <c r="M274" s="38">
        <f t="shared" si="4"/>
        <v>78</v>
      </c>
    </row>
    <row r="275" ht="15.75" spans="1:13">
      <c r="A275" s="35" t="s">
        <v>316</v>
      </c>
      <c r="B275" s="36">
        <v>46211</v>
      </c>
      <c r="C275" s="35" t="s">
        <v>13</v>
      </c>
      <c r="D275" s="35" t="s">
        <v>78</v>
      </c>
      <c r="E275" s="35" t="s">
        <v>48</v>
      </c>
      <c r="F275" s="35" t="s">
        <v>28</v>
      </c>
      <c r="G275" s="35" t="s">
        <v>29</v>
      </c>
      <c r="H275" s="35" t="s">
        <v>30</v>
      </c>
      <c r="I275" s="37">
        <v>6</v>
      </c>
      <c r="J275" s="38">
        <v>26</v>
      </c>
      <c r="K275" s="35" t="s">
        <v>20</v>
      </c>
      <c r="L275" s="35" t="s">
        <v>24</v>
      </c>
      <c r="M275" s="38">
        <f t="shared" si="4"/>
        <v>156</v>
      </c>
    </row>
    <row r="276" ht="15.75" spans="1:13">
      <c r="A276" s="35" t="s">
        <v>317</v>
      </c>
      <c r="B276" s="36">
        <v>46286</v>
      </c>
      <c r="C276" s="35" t="s">
        <v>52</v>
      </c>
      <c r="D276" s="35" t="s">
        <v>57</v>
      </c>
      <c r="E276" s="35" t="s">
        <v>15</v>
      </c>
      <c r="F276" s="35" t="s">
        <v>40</v>
      </c>
      <c r="G276" s="35" t="s">
        <v>35</v>
      </c>
      <c r="H276" s="35" t="s">
        <v>30</v>
      </c>
      <c r="I276" s="37">
        <v>13</v>
      </c>
      <c r="J276" s="38">
        <v>210</v>
      </c>
      <c r="K276" s="35" t="s">
        <v>19</v>
      </c>
      <c r="L276" s="35" t="s">
        <v>20</v>
      </c>
      <c r="M276" s="38">
        <f t="shared" si="4"/>
        <v>2730</v>
      </c>
    </row>
    <row r="277" ht="15.75" spans="1:13">
      <c r="A277" s="35" t="s">
        <v>318</v>
      </c>
      <c r="B277" s="36">
        <v>46288</v>
      </c>
      <c r="C277" s="35" t="s">
        <v>22</v>
      </c>
      <c r="D277" s="35" t="s">
        <v>42</v>
      </c>
      <c r="E277" s="35" t="s">
        <v>15</v>
      </c>
      <c r="F277" s="35" t="s">
        <v>40</v>
      </c>
      <c r="G277" s="35" t="s">
        <v>35</v>
      </c>
      <c r="H277" s="35" t="s">
        <v>30</v>
      </c>
      <c r="I277" s="37">
        <v>26</v>
      </c>
      <c r="J277" s="38">
        <v>210</v>
      </c>
      <c r="K277" s="35" t="s">
        <v>19</v>
      </c>
      <c r="L277" s="35" t="s">
        <v>24</v>
      </c>
      <c r="M277" s="38">
        <f t="shared" si="4"/>
        <v>5460</v>
      </c>
    </row>
    <row r="278" ht="15.75" spans="1:13">
      <c r="A278" s="35" t="s">
        <v>319</v>
      </c>
      <c r="B278" s="36">
        <v>46232</v>
      </c>
      <c r="C278" s="35" t="s">
        <v>13</v>
      </c>
      <c r="D278" s="35" t="s">
        <v>32</v>
      </c>
      <c r="E278" s="35" t="s">
        <v>33</v>
      </c>
      <c r="F278" s="35" t="s">
        <v>16</v>
      </c>
      <c r="G278" s="35" t="s">
        <v>23</v>
      </c>
      <c r="H278" s="35" t="s">
        <v>18</v>
      </c>
      <c r="I278" s="37">
        <v>27</v>
      </c>
      <c r="J278" s="38">
        <v>175</v>
      </c>
      <c r="K278" s="35" t="s">
        <v>20</v>
      </c>
      <c r="L278" s="35" t="s">
        <v>58</v>
      </c>
      <c r="M278" s="38">
        <f t="shared" si="4"/>
        <v>4725</v>
      </c>
    </row>
    <row r="279" ht="15.75" spans="1:13">
      <c r="A279" s="35" t="s">
        <v>320</v>
      </c>
      <c r="B279" s="36">
        <v>46233</v>
      </c>
      <c r="C279" s="35" t="s">
        <v>22</v>
      </c>
      <c r="D279" s="35" t="s">
        <v>42</v>
      </c>
      <c r="E279" s="35" t="s">
        <v>15</v>
      </c>
      <c r="F279" s="35" t="s">
        <v>40</v>
      </c>
      <c r="G279" s="35" t="s">
        <v>29</v>
      </c>
      <c r="H279" s="35" t="s">
        <v>30</v>
      </c>
      <c r="I279" s="37">
        <v>29</v>
      </c>
      <c r="J279" s="38">
        <v>26</v>
      </c>
      <c r="K279" s="35" t="s">
        <v>19</v>
      </c>
      <c r="L279" s="35" t="s">
        <v>24</v>
      </c>
      <c r="M279" s="38">
        <f t="shared" si="4"/>
        <v>754</v>
      </c>
    </row>
    <row r="280" ht="15.75" spans="1:13">
      <c r="A280" s="35" t="s">
        <v>321</v>
      </c>
      <c r="B280" s="36">
        <v>46257</v>
      </c>
      <c r="C280" s="35" t="s">
        <v>13</v>
      </c>
      <c r="D280" s="35" t="s">
        <v>27</v>
      </c>
      <c r="E280" s="35" t="s">
        <v>15</v>
      </c>
      <c r="F280" s="35" t="s">
        <v>28</v>
      </c>
      <c r="G280" s="35" t="s">
        <v>29</v>
      </c>
      <c r="H280" s="35" t="s">
        <v>30</v>
      </c>
      <c r="I280" s="37">
        <v>78</v>
      </c>
      <c r="J280" s="38">
        <v>26</v>
      </c>
      <c r="K280" s="35" t="s">
        <v>19</v>
      </c>
      <c r="L280" s="35" t="s">
        <v>24</v>
      </c>
      <c r="M280" s="38">
        <f t="shared" si="4"/>
        <v>2028</v>
      </c>
    </row>
    <row r="281" ht="15.75" spans="1:13">
      <c r="A281" s="35" t="s">
        <v>322</v>
      </c>
      <c r="B281" s="36">
        <v>46294</v>
      </c>
      <c r="C281" s="35" t="s">
        <v>13</v>
      </c>
      <c r="D281" s="35" t="s">
        <v>53</v>
      </c>
      <c r="E281" s="35" t="s">
        <v>48</v>
      </c>
      <c r="F281" s="35" t="s">
        <v>28</v>
      </c>
      <c r="G281" s="35" t="s">
        <v>17</v>
      </c>
      <c r="H281" s="35" t="s">
        <v>18</v>
      </c>
      <c r="I281" s="37">
        <v>30</v>
      </c>
      <c r="J281" s="38">
        <v>260</v>
      </c>
      <c r="K281" s="35" t="s">
        <v>19</v>
      </c>
      <c r="L281" s="35" t="s">
        <v>24</v>
      </c>
      <c r="M281" s="38">
        <f t="shared" si="4"/>
        <v>7800</v>
      </c>
    </row>
    <row r="282" ht="15.75" spans="1:13">
      <c r="A282" s="35" t="s">
        <v>323</v>
      </c>
      <c r="B282" s="36">
        <v>46211</v>
      </c>
      <c r="C282" s="35" t="s">
        <v>22</v>
      </c>
      <c r="D282" s="35" t="s">
        <v>42</v>
      </c>
      <c r="E282" s="35" t="s">
        <v>15</v>
      </c>
      <c r="F282" s="35" t="s">
        <v>40</v>
      </c>
      <c r="G282" s="35" t="s">
        <v>45</v>
      </c>
      <c r="H282" s="35" t="s">
        <v>18</v>
      </c>
      <c r="I282" s="37">
        <v>15</v>
      </c>
      <c r="J282" s="38">
        <v>185</v>
      </c>
      <c r="K282" s="35" t="s">
        <v>19</v>
      </c>
      <c r="L282" s="35" t="s">
        <v>24</v>
      </c>
      <c r="M282" s="38">
        <f t="shared" si="4"/>
        <v>2775</v>
      </c>
    </row>
    <row r="283" ht="15.75" spans="1:13">
      <c r="A283" s="35" t="s">
        <v>324</v>
      </c>
      <c r="B283" s="36">
        <v>46222</v>
      </c>
      <c r="C283" s="35" t="s">
        <v>22</v>
      </c>
      <c r="D283" s="35" t="s">
        <v>53</v>
      </c>
      <c r="E283" s="35" t="s">
        <v>48</v>
      </c>
      <c r="F283" s="35" t="s">
        <v>28</v>
      </c>
      <c r="G283" s="35" t="s">
        <v>49</v>
      </c>
      <c r="H283" s="35" t="s">
        <v>18</v>
      </c>
      <c r="I283" s="37">
        <v>22</v>
      </c>
      <c r="J283" s="38">
        <v>145</v>
      </c>
      <c r="K283" s="35" t="s">
        <v>19</v>
      </c>
      <c r="L283" s="35" t="s">
        <v>24</v>
      </c>
      <c r="M283" s="38">
        <f t="shared" si="4"/>
        <v>3190</v>
      </c>
    </row>
    <row r="284" ht="15.75" spans="1:13">
      <c r="A284" s="35" t="s">
        <v>325</v>
      </c>
      <c r="B284" s="36">
        <v>46258</v>
      </c>
      <c r="C284" s="35" t="s">
        <v>52</v>
      </c>
      <c r="D284" s="35" t="s">
        <v>37</v>
      </c>
      <c r="E284" s="35" t="s">
        <v>33</v>
      </c>
      <c r="F284" s="35" t="s">
        <v>16</v>
      </c>
      <c r="G284" s="35" t="s">
        <v>23</v>
      </c>
      <c r="H284" s="35" t="s">
        <v>18</v>
      </c>
      <c r="I284" s="37">
        <v>13</v>
      </c>
      <c r="J284" s="38">
        <v>175</v>
      </c>
      <c r="K284" s="35" t="s">
        <v>19</v>
      </c>
      <c r="L284" s="35" t="s">
        <v>24</v>
      </c>
      <c r="M284" s="38">
        <f t="shared" si="4"/>
        <v>2275</v>
      </c>
    </row>
    <row r="285" ht="15.75" spans="1:13">
      <c r="A285" s="35" t="s">
        <v>326</v>
      </c>
      <c r="B285" s="36">
        <v>46256</v>
      </c>
      <c r="C285" s="35" t="s">
        <v>22</v>
      </c>
      <c r="D285" s="35" t="s">
        <v>47</v>
      </c>
      <c r="E285" s="35" t="s">
        <v>48</v>
      </c>
      <c r="F285" s="35" t="s">
        <v>16</v>
      </c>
      <c r="G285" s="35" t="s">
        <v>23</v>
      </c>
      <c r="H285" s="35" t="s">
        <v>18</v>
      </c>
      <c r="I285" s="37">
        <v>22</v>
      </c>
      <c r="J285" s="38">
        <v>175</v>
      </c>
      <c r="K285" s="35" t="s">
        <v>19</v>
      </c>
      <c r="L285" s="35" t="s">
        <v>24</v>
      </c>
      <c r="M285" s="38">
        <f t="shared" si="4"/>
        <v>3850</v>
      </c>
    </row>
    <row r="286" ht="15.75" spans="1:13">
      <c r="A286" s="35" t="s">
        <v>327</v>
      </c>
      <c r="B286" s="36">
        <v>46242</v>
      </c>
      <c r="C286" s="35" t="s">
        <v>22</v>
      </c>
      <c r="D286" s="35" t="s">
        <v>37</v>
      </c>
      <c r="E286" s="35" t="s">
        <v>33</v>
      </c>
      <c r="F286" s="35" t="s">
        <v>16</v>
      </c>
      <c r="G286" s="35" t="s">
        <v>35</v>
      </c>
      <c r="H286" s="35" t="s">
        <v>30</v>
      </c>
      <c r="I286" s="37">
        <v>17</v>
      </c>
      <c r="J286" s="38">
        <v>210</v>
      </c>
      <c r="K286" s="35" t="s">
        <v>20</v>
      </c>
      <c r="L286" s="35" t="s">
        <v>58</v>
      </c>
      <c r="M286" s="38">
        <f t="shared" si="4"/>
        <v>3570</v>
      </c>
    </row>
    <row r="287" ht="15.75" spans="1:13">
      <c r="A287" s="35" t="s">
        <v>328</v>
      </c>
      <c r="B287" s="36">
        <v>46221</v>
      </c>
      <c r="C287" s="35" t="s">
        <v>52</v>
      </c>
      <c r="D287" s="35" t="s">
        <v>37</v>
      </c>
      <c r="E287" s="35" t="s">
        <v>33</v>
      </c>
      <c r="F287" s="35" t="s">
        <v>16</v>
      </c>
      <c r="G287" s="35" t="s">
        <v>35</v>
      </c>
      <c r="H287" s="35" t="s">
        <v>30</v>
      </c>
      <c r="I287" s="37">
        <v>28</v>
      </c>
      <c r="J287" s="38">
        <v>210</v>
      </c>
      <c r="K287" s="35" t="s">
        <v>19</v>
      </c>
      <c r="L287" s="35" t="s">
        <v>24</v>
      </c>
      <c r="M287" s="38">
        <f t="shared" si="4"/>
        <v>5880</v>
      </c>
    </row>
    <row r="288" ht="15.75" spans="1:13">
      <c r="A288" s="35" t="s">
        <v>329</v>
      </c>
      <c r="B288" s="36">
        <v>46228</v>
      </c>
      <c r="C288" s="35" t="s">
        <v>13</v>
      </c>
      <c r="D288" s="35" t="s">
        <v>14</v>
      </c>
      <c r="E288" s="35" t="s">
        <v>15</v>
      </c>
      <c r="F288" s="35" t="s">
        <v>16</v>
      </c>
      <c r="G288" s="35" t="s">
        <v>35</v>
      </c>
      <c r="H288" s="35" t="s">
        <v>30</v>
      </c>
      <c r="I288" s="37">
        <v>25</v>
      </c>
      <c r="J288" s="38">
        <v>210</v>
      </c>
      <c r="K288" s="35" t="s">
        <v>19</v>
      </c>
      <c r="L288" s="35" t="s">
        <v>24</v>
      </c>
      <c r="M288" s="38">
        <f t="shared" si="4"/>
        <v>5250</v>
      </c>
    </row>
    <row r="289" ht="15.75" spans="1:13">
      <c r="A289" s="35" t="s">
        <v>330</v>
      </c>
      <c r="B289" s="36">
        <v>46279</v>
      </c>
      <c r="C289" s="35" t="s">
        <v>22</v>
      </c>
      <c r="D289" s="35" t="s">
        <v>53</v>
      </c>
      <c r="E289" s="35" t="s">
        <v>48</v>
      </c>
      <c r="F289" s="35" t="s">
        <v>28</v>
      </c>
      <c r="G289" s="35" t="s">
        <v>17</v>
      </c>
      <c r="H289" s="35" t="s">
        <v>18</v>
      </c>
      <c r="I289" s="37">
        <v>6</v>
      </c>
      <c r="J289" s="38">
        <v>260</v>
      </c>
      <c r="K289" s="35" t="s">
        <v>19</v>
      </c>
      <c r="L289" s="35" t="s">
        <v>20</v>
      </c>
      <c r="M289" s="38">
        <f t="shared" si="4"/>
        <v>1560</v>
      </c>
    </row>
    <row r="290" ht="15.75" spans="1:13">
      <c r="A290" s="35" t="s">
        <v>331</v>
      </c>
      <c r="B290" s="36">
        <v>46228</v>
      </c>
      <c r="C290" s="35" t="s">
        <v>13</v>
      </c>
      <c r="D290" s="35" t="s">
        <v>78</v>
      </c>
      <c r="E290" s="35" t="s">
        <v>48</v>
      </c>
      <c r="F290" s="35" t="s">
        <v>28</v>
      </c>
      <c r="G290" s="35" t="s">
        <v>49</v>
      </c>
      <c r="H290" s="35" t="s">
        <v>18</v>
      </c>
      <c r="I290" s="37">
        <v>2</v>
      </c>
      <c r="J290" s="38">
        <v>145</v>
      </c>
      <c r="K290" s="35" t="s">
        <v>20</v>
      </c>
      <c r="L290" s="35" t="s">
        <v>20</v>
      </c>
      <c r="M290" s="38">
        <f t="shared" si="4"/>
        <v>290</v>
      </c>
    </row>
    <row r="291" ht="15.75" spans="1:13">
      <c r="A291" s="35" t="s">
        <v>332</v>
      </c>
      <c r="B291" s="36">
        <v>46234</v>
      </c>
      <c r="C291" s="35" t="s">
        <v>26</v>
      </c>
      <c r="D291" s="35" t="s">
        <v>27</v>
      </c>
      <c r="E291" s="35" t="s">
        <v>15</v>
      </c>
      <c r="F291" s="35" t="s">
        <v>28</v>
      </c>
      <c r="G291" s="35" t="s">
        <v>29</v>
      </c>
      <c r="H291" s="35" t="s">
        <v>30</v>
      </c>
      <c r="I291" s="37">
        <v>15</v>
      </c>
      <c r="J291" s="38">
        <v>26</v>
      </c>
      <c r="K291" s="35" t="s">
        <v>20</v>
      </c>
      <c r="L291" s="35" t="s">
        <v>24</v>
      </c>
      <c r="M291" s="38">
        <f t="shared" si="4"/>
        <v>390</v>
      </c>
    </row>
    <row r="292" ht="15.75" spans="1:13">
      <c r="A292" s="35" t="s">
        <v>333</v>
      </c>
      <c r="B292" s="36">
        <v>46250</v>
      </c>
      <c r="C292" s="35" t="s">
        <v>52</v>
      </c>
      <c r="D292" s="35" t="s">
        <v>37</v>
      </c>
      <c r="E292" s="35" t="s">
        <v>33</v>
      </c>
      <c r="F292" s="35" t="s">
        <v>16</v>
      </c>
      <c r="G292" s="35" t="s">
        <v>29</v>
      </c>
      <c r="H292" s="35" t="s">
        <v>30</v>
      </c>
      <c r="I292" s="37">
        <v>24</v>
      </c>
      <c r="J292" s="38">
        <v>26</v>
      </c>
      <c r="K292" s="35" t="s">
        <v>19</v>
      </c>
      <c r="L292" s="35" t="s">
        <v>20</v>
      </c>
      <c r="M292" s="38">
        <f t="shared" si="4"/>
        <v>624</v>
      </c>
    </row>
    <row r="293" ht="15.75" spans="1:13">
      <c r="A293" s="35" t="s">
        <v>334</v>
      </c>
      <c r="B293" s="36">
        <v>46256</v>
      </c>
      <c r="C293" s="35" t="s">
        <v>13</v>
      </c>
      <c r="D293" s="35" t="s">
        <v>42</v>
      </c>
      <c r="E293" s="35" t="s">
        <v>15</v>
      </c>
      <c r="F293" s="35" t="s">
        <v>40</v>
      </c>
      <c r="G293" s="35" t="s">
        <v>49</v>
      </c>
      <c r="H293" s="35" t="s">
        <v>18</v>
      </c>
      <c r="I293" s="37">
        <v>15</v>
      </c>
      <c r="J293" s="38">
        <v>145</v>
      </c>
      <c r="K293" s="35" t="s">
        <v>19</v>
      </c>
      <c r="L293" s="35" t="s">
        <v>24</v>
      </c>
      <c r="M293" s="38">
        <f t="shared" si="4"/>
        <v>2175</v>
      </c>
    </row>
    <row r="294" ht="15.75" spans="1:13">
      <c r="A294" s="35" t="s">
        <v>335</v>
      </c>
      <c r="B294" s="36">
        <v>46278</v>
      </c>
      <c r="C294" s="35" t="s">
        <v>52</v>
      </c>
      <c r="D294" s="35" t="s">
        <v>32</v>
      </c>
      <c r="E294" s="35" t="s">
        <v>33</v>
      </c>
      <c r="F294" s="35" t="s">
        <v>16</v>
      </c>
      <c r="G294" s="35" t="s">
        <v>17</v>
      </c>
      <c r="H294" s="35" t="s">
        <v>18</v>
      </c>
      <c r="I294" s="37">
        <v>18</v>
      </c>
      <c r="J294" s="38">
        <v>260</v>
      </c>
      <c r="K294" s="35" t="s">
        <v>19</v>
      </c>
      <c r="L294" s="35" t="s">
        <v>24</v>
      </c>
      <c r="M294" s="38">
        <f t="shared" si="4"/>
        <v>4680</v>
      </c>
    </row>
    <row r="295" ht="15.75" spans="1:13">
      <c r="A295" s="35" t="s">
        <v>336</v>
      </c>
      <c r="B295" s="36">
        <v>46287</v>
      </c>
      <c r="C295" s="35" t="s">
        <v>26</v>
      </c>
      <c r="D295" s="35" t="s">
        <v>27</v>
      </c>
      <c r="E295" s="35" t="s">
        <v>15</v>
      </c>
      <c r="F295" s="35" t="s">
        <v>28</v>
      </c>
      <c r="G295" s="35" t="s">
        <v>35</v>
      </c>
      <c r="H295" s="35" t="s">
        <v>30</v>
      </c>
      <c r="I295" s="37">
        <v>17</v>
      </c>
      <c r="J295" s="38">
        <v>210</v>
      </c>
      <c r="K295" s="35" t="s">
        <v>19</v>
      </c>
      <c r="L295" s="35" t="s">
        <v>20</v>
      </c>
      <c r="M295" s="38">
        <f t="shared" si="4"/>
        <v>3570</v>
      </c>
    </row>
    <row r="296" ht="15.75" spans="1:13">
      <c r="A296" s="35" t="s">
        <v>337</v>
      </c>
      <c r="B296" s="36">
        <v>46249</v>
      </c>
      <c r="C296" s="35" t="s">
        <v>22</v>
      </c>
      <c r="D296" s="35" t="s">
        <v>42</v>
      </c>
      <c r="E296" s="35" t="s">
        <v>15</v>
      </c>
      <c r="F296" s="35" t="s">
        <v>40</v>
      </c>
      <c r="G296" s="35" t="s">
        <v>35</v>
      </c>
      <c r="H296" s="35" t="s">
        <v>30</v>
      </c>
      <c r="I296" s="37">
        <v>12</v>
      </c>
      <c r="J296" s="38">
        <v>210</v>
      </c>
      <c r="K296" s="35" t="s">
        <v>19</v>
      </c>
      <c r="L296" s="35" t="s">
        <v>24</v>
      </c>
      <c r="M296" s="38">
        <f t="shared" si="4"/>
        <v>2520</v>
      </c>
    </row>
    <row r="297" ht="15.75" spans="1:13">
      <c r="A297" s="35" t="s">
        <v>338</v>
      </c>
      <c r="B297" s="36">
        <v>46213</v>
      </c>
      <c r="C297" s="35" t="s">
        <v>13</v>
      </c>
      <c r="D297" s="35" t="s">
        <v>32</v>
      </c>
      <c r="E297" s="35" t="s">
        <v>33</v>
      </c>
      <c r="F297" s="35" t="s">
        <v>16</v>
      </c>
      <c r="G297" s="35" t="s">
        <v>23</v>
      </c>
      <c r="H297" s="35" t="s">
        <v>18</v>
      </c>
      <c r="I297" s="37">
        <v>5</v>
      </c>
      <c r="J297" s="38">
        <v>175</v>
      </c>
      <c r="K297" s="35" t="s">
        <v>20</v>
      </c>
      <c r="L297" s="35" t="s">
        <v>24</v>
      </c>
      <c r="M297" s="38">
        <f t="shared" si="4"/>
        <v>875</v>
      </c>
    </row>
    <row r="298" ht="15.75" spans="1:13">
      <c r="A298" s="35" t="s">
        <v>339</v>
      </c>
      <c r="B298" s="36">
        <v>46262</v>
      </c>
      <c r="C298" s="35" t="s">
        <v>26</v>
      </c>
      <c r="D298" s="35" t="s">
        <v>27</v>
      </c>
      <c r="E298" s="35" t="s">
        <v>15</v>
      </c>
      <c r="F298" s="35" t="s">
        <v>28</v>
      </c>
      <c r="G298" s="35" t="s">
        <v>17</v>
      </c>
      <c r="H298" s="35" t="s">
        <v>18</v>
      </c>
      <c r="I298" s="37">
        <v>68</v>
      </c>
      <c r="J298" s="38">
        <v>260</v>
      </c>
      <c r="K298" s="35" t="s">
        <v>19</v>
      </c>
      <c r="L298" s="35" t="s">
        <v>24</v>
      </c>
      <c r="M298" s="38">
        <f t="shared" si="4"/>
        <v>17680</v>
      </c>
    </row>
    <row r="299" ht="15.75" spans="1:13">
      <c r="A299" s="35" t="s">
        <v>340</v>
      </c>
      <c r="B299" s="36">
        <v>46274</v>
      </c>
      <c r="C299" s="35" t="s">
        <v>52</v>
      </c>
      <c r="D299" s="35" t="s">
        <v>53</v>
      </c>
      <c r="E299" s="35" t="s">
        <v>48</v>
      </c>
      <c r="F299" s="35" t="s">
        <v>28</v>
      </c>
      <c r="G299" s="35" t="s">
        <v>35</v>
      </c>
      <c r="H299" s="35" t="s">
        <v>30</v>
      </c>
      <c r="I299" s="37">
        <v>70</v>
      </c>
      <c r="J299" s="38">
        <v>210</v>
      </c>
      <c r="K299" s="35" t="s">
        <v>19</v>
      </c>
      <c r="L299" s="35" t="s">
        <v>24</v>
      </c>
      <c r="M299" s="38">
        <f t="shared" si="4"/>
        <v>14700</v>
      </c>
    </row>
    <row r="300" ht="15.75" spans="1:13">
      <c r="A300" s="35" t="s">
        <v>341</v>
      </c>
      <c r="B300" s="36">
        <v>46290</v>
      </c>
      <c r="C300" s="35" t="s">
        <v>52</v>
      </c>
      <c r="D300" s="35" t="s">
        <v>57</v>
      </c>
      <c r="E300" s="35" t="s">
        <v>15</v>
      </c>
      <c r="F300" s="35" t="s">
        <v>40</v>
      </c>
      <c r="G300" s="35" t="s">
        <v>23</v>
      </c>
      <c r="H300" s="35" t="s">
        <v>18</v>
      </c>
      <c r="I300" s="37">
        <v>80</v>
      </c>
      <c r="J300" s="38">
        <v>175</v>
      </c>
      <c r="K300" s="35" t="s">
        <v>20</v>
      </c>
      <c r="L300" s="35" t="s">
        <v>58</v>
      </c>
      <c r="M300" s="38">
        <f t="shared" si="4"/>
        <v>14000</v>
      </c>
    </row>
    <row r="301" ht="15.75" spans="1:13">
      <c r="A301" s="35" t="s">
        <v>342</v>
      </c>
      <c r="B301" s="36">
        <v>46228</v>
      </c>
      <c r="C301" s="35" t="s">
        <v>26</v>
      </c>
      <c r="D301" s="35" t="s">
        <v>14</v>
      </c>
      <c r="E301" s="35" t="s">
        <v>15</v>
      </c>
      <c r="F301" s="35" t="s">
        <v>16</v>
      </c>
      <c r="G301" s="35" t="s">
        <v>17</v>
      </c>
      <c r="H301" s="35" t="s">
        <v>18</v>
      </c>
      <c r="I301" s="37">
        <v>35</v>
      </c>
      <c r="J301" s="38">
        <v>260</v>
      </c>
      <c r="K301" s="35" t="s">
        <v>20</v>
      </c>
      <c r="L301" s="35" t="s">
        <v>24</v>
      </c>
      <c r="M301" s="38">
        <f t="shared" si="4"/>
        <v>9100</v>
      </c>
    </row>
    <row r="302" ht="15.75" spans="1:13">
      <c r="A302" s="35" t="s">
        <v>343</v>
      </c>
      <c r="B302" s="36">
        <v>46262</v>
      </c>
      <c r="C302" s="35" t="s">
        <v>22</v>
      </c>
      <c r="D302" s="35" t="s">
        <v>47</v>
      </c>
      <c r="E302" s="35" t="s">
        <v>48</v>
      </c>
      <c r="F302" s="35" t="s">
        <v>16</v>
      </c>
      <c r="G302" s="35" t="s">
        <v>17</v>
      </c>
      <c r="H302" s="35" t="s">
        <v>18</v>
      </c>
      <c r="I302" s="37">
        <v>25</v>
      </c>
      <c r="J302" s="38">
        <v>260</v>
      </c>
      <c r="K302" s="35" t="s">
        <v>20</v>
      </c>
      <c r="L302" s="35" t="s">
        <v>24</v>
      </c>
      <c r="M302" s="38">
        <f t="shared" si="4"/>
        <v>6500</v>
      </c>
    </row>
    <row r="303" ht="15.75" spans="1:13">
      <c r="A303" s="35" t="s">
        <v>344</v>
      </c>
      <c r="B303" s="36">
        <v>46252</v>
      </c>
      <c r="C303" s="35" t="s">
        <v>52</v>
      </c>
      <c r="D303" s="35" t="s">
        <v>14</v>
      </c>
      <c r="E303" s="35" t="s">
        <v>15</v>
      </c>
      <c r="F303" s="35" t="s">
        <v>16</v>
      </c>
      <c r="G303" s="35" t="s">
        <v>29</v>
      </c>
      <c r="H303" s="35" t="s">
        <v>30</v>
      </c>
      <c r="I303" s="37">
        <v>4</v>
      </c>
      <c r="J303" s="38">
        <v>26</v>
      </c>
      <c r="K303" s="35" t="s">
        <v>19</v>
      </c>
      <c r="L303" s="35" t="s">
        <v>24</v>
      </c>
      <c r="M303" s="38">
        <f t="shared" si="4"/>
        <v>104</v>
      </c>
    </row>
    <row r="304" ht="15.75" spans="1:13">
      <c r="A304" s="35" t="s">
        <v>345</v>
      </c>
      <c r="B304" s="36">
        <v>46259</v>
      </c>
      <c r="C304" s="35" t="s">
        <v>26</v>
      </c>
      <c r="D304" s="35" t="s">
        <v>39</v>
      </c>
      <c r="E304" s="35" t="s">
        <v>15</v>
      </c>
      <c r="F304" s="35" t="s">
        <v>40</v>
      </c>
      <c r="G304" s="35" t="s">
        <v>29</v>
      </c>
      <c r="H304" s="35" t="s">
        <v>30</v>
      </c>
      <c r="I304" s="37">
        <v>12</v>
      </c>
      <c r="J304" s="38">
        <v>26</v>
      </c>
      <c r="K304" s="35" t="s">
        <v>19</v>
      </c>
      <c r="L304" s="35" t="s">
        <v>20</v>
      </c>
      <c r="M304" s="38">
        <f t="shared" si="4"/>
        <v>312</v>
      </c>
    </row>
    <row r="305" ht="15.75" spans="1:13">
      <c r="A305" s="35" t="s">
        <v>346</v>
      </c>
      <c r="B305" s="36">
        <v>46292</v>
      </c>
      <c r="C305" s="35" t="s">
        <v>52</v>
      </c>
      <c r="D305" s="35" t="s">
        <v>14</v>
      </c>
      <c r="E305" s="35" t="s">
        <v>15</v>
      </c>
      <c r="F305" s="35" t="s">
        <v>16</v>
      </c>
      <c r="G305" s="35" t="s">
        <v>23</v>
      </c>
      <c r="H305" s="35" t="s">
        <v>18</v>
      </c>
      <c r="I305" s="37">
        <v>4</v>
      </c>
      <c r="J305" s="38">
        <v>175</v>
      </c>
      <c r="K305" s="35" t="s">
        <v>19</v>
      </c>
      <c r="L305" s="35" t="s">
        <v>58</v>
      </c>
      <c r="M305" s="38">
        <f t="shared" si="4"/>
        <v>700</v>
      </c>
    </row>
    <row r="306" ht="15.75" spans="1:13">
      <c r="A306" s="35" t="s">
        <v>347</v>
      </c>
      <c r="B306" s="36">
        <v>46244</v>
      </c>
      <c r="C306" s="35" t="s">
        <v>13</v>
      </c>
      <c r="D306" s="35" t="s">
        <v>57</v>
      </c>
      <c r="E306" s="35" t="s">
        <v>15</v>
      </c>
      <c r="F306" s="35" t="s">
        <v>40</v>
      </c>
      <c r="G306" s="35" t="s">
        <v>23</v>
      </c>
      <c r="H306" s="35" t="s">
        <v>18</v>
      </c>
      <c r="I306" s="37">
        <v>4</v>
      </c>
      <c r="J306" s="38">
        <v>175</v>
      </c>
      <c r="K306" s="35" t="s">
        <v>20</v>
      </c>
      <c r="L306" s="35" t="s">
        <v>24</v>
      </c>
      <c r="M306" s="38">
        <f t="shared" si="4"/>
        <v>700</v>
      </c>
    </row>
    <row r="307" ht="15.75" spans="1:13">
      <c r="A307" s="35" t="s">
        <v>348</v>
      </c>
      <c r="B307" s="36">
        <v>46234</v>
      </c>
      <c r="C307" s="35" t="s">
        <v>52</v>
      </c>
      <c r="D307" s="35" t="s">
        <v>47</v>
      </c>
      <c r="E307" s="35" t="s">
        <v>48</v>
      </c>
      <c r="F307" s="35" t="s">
        <v>16</v>
      </c>
      <c r="G307" s="35" t="s">
        <v>17</v>
      </c>
      <c r="H307" s="35" t="s">
        <v>18</v>
      </c>
      <c r="I307" s="37">
        <v>21</v>
      </c>
      <c r="J307" s="38">
        <v>260</v>
      </c>
      <c r="K307" s="35" t="s">
        <v>19</v>
      </c>
      <c r="L307" s="35" t="s">
        <v>24</v>
      </c>
      <c r="M307" s="38">
        <f t="shared" si="4"/>
        <v>5460</v>
      </c>
    </row>
    <row r="308" ht="15.75" spans="1:13">
      <c r="A308" s="35" t="s">
        <v>349</v>
      </c>
      <c r="B308" s="36">
        <v>46292</v>
      </c>
      <c r="C308" s="35" t="s">
        <v>13</v>
      </c>
      <c r="D308" s="35" t="s">
        <v>47</v>
      </c>
      <c r="E308" s="35" t="s">
        <v>48</v>
      </c>
      <c r="F308" s="35" t="s">
        <v>16</v>
      </c>
      <c r="G308" s="35" t="s">
        <v>29</v>
      </c>
      <c r="H308" s="35" t="s">
        <v>30</v>
      </c>
      <c r="I308" s="37">
        <v>10</v>
      </c>
      <c r="J308" s="38">
        <v>26</v>
      </c>
      <c r="K308" s="35" t="s">
        <v>19</v>
      </c>
      <c r="L308" s="35" t="s">
        <v>58</v>
      </c>
      <c r="M308" s="38">
        <f t="shared" si="4"/>
        <v>260</v>
      </c>
    </row>
    <row r="309" ht="15.75" spans="1:13">
      <c r="A309" s="35" t="s">
        <v>350</v>
      </c>
      <c r="B309" s="36">
        <v>46213</v>
      </c>
      <c r="C309" s="35" t="s">
        <v>26</v>
      </c>
      <c r="D309" s="35" t="s">
        <v>39</v>
      </c>
      <c r="E309" s="35" t="s">
        <v>15</v>
      </c>
      <c r="F309" s="35" t="s">
        <v>40</v>
      </c>
      <c r="G309" s="35" t="s">
        <v>17</v>
      </c>
      <c r="H309" s="35" t="s">
        <v>18</v>
      </c>
      <c r="I309" s="37">
        <v>29</v>
      </c>
      <c r="J309" s="38">
        <v>260</v>
      </c>
      <c r="K309" s="35" t="s">
        <v>19</v>
      </c>
      <c r="L309" s="35" t="s">
        <v>24</v>
      </c>
      <c r="M309" s="38">
        <f t="shared" si="4"/>
        <v>7540</v>
      </c>
    </row>
    <row r="310" ht="15.75" spans="1:13">
      <c r="A310" s="35" t="s">
        <v>351</v>
      </c>
      <c r="B310" s="36">
        <v>46261</v>
      </c>
      <c r="C310" s="35" t="s">
        <v>52</v>
      </c>
      <c r="D310" s="35" t="s">
        <v>53</v>
      </c>
      <c r="E310" s="35" t="s">
        <v>48</v>
      </c>
      <c r="F310" s="35" t="s">
        <v>28</v>
      </c>
      <c r="G310" s="35" t="s">
        <v>35</v>
      </c>
      <c r="H310" s="35" t="s">
        <v>30</v>
      </c>
      <c r="I310" s="37">
        <v>53</v>
      </c>
      <c r="J310" s="38">
        <v>210</v>
      </c>
      <c r="K310" s="35" t="s">
        <v>19</v>
      </c>
      <c r="L310" s="35" t="s">
        <v>24</v>
      </c>
      <c r="M310" s="38">
        <f t="shared" si="4"/>
        <v>11130</v>
      </c>
    </row>
    <row r="311" ht="15.75" spans="1:13">
      <c r="A311" s="35" t="s">
        <v>352</v>
      </c>
      <c r="B311" s="36">
        <v>46288</v>
      </c>
      <c r="C311" s="35" t="s">
        <v>52</v>
      </c>
      <c r="D311" s="35" t="s">
        <v>47</v>
      </c>
      <c r="E311" s="35" t="s">
        <v>48</v>
      </c>
      <c r="F311" s="35" t="s">
        <v>16</v>
      </c>
      <c r="G311" s="35" t="s">
        <v>35</v>
      </c>
      <c r="H311" s="35" t="s">
        <v>30</v>
      </c>
      <c r="I311" s="37">
        <v>13</v>
      </c>
      <c r="J311" s="38">
        <v>210</v>
      </c>
      <c r="K311" s="35" t="s">
        <v>19</v>
      </c>
      <c r="L311" s="35" t="s">
        <v>24</v>
      </c>
      <c r="M311" s="38">
        <f t="shared" si="4"/>
        <v>2730</v>
      </c>
    </row>
    <row r="312" ht="15.75" spans="1:13">
      <c r="A312" s="35" t="s">
        <v>353</v>
      </c>
      <c r="B312" s="36">
        <v>46223</v>
      </c>
      <c r="C312" s="35" t="s">
        <v>52</v>
      </c>
      <c r="D312" s="35" t="s">
        <v>27</v>
      </c>
      <c r="E312" s="35" t="s">
        <v>15</v>
      </c>
      <c r="F312" s="35" t="s">
        <v>28</v>
      </c>
      <c r="G312" s="35" t="s">
        <v>29</v>
      </c>
      <c r="H312" s="35" t="s">
        <v>30</v>
      </c>
      <c r="I312" s="37">
        <v>6</v>
      </c>
      <c r="J312" s="38">
        <v>26</v>
      </c>
      <c r="K312" s="35" t="s">
        <v>19</v>
      </c>
      <c r="L312" s="35" t="s">
        <v>24</v>
      </c>
      <c r="M312" s="38">
        <f t="shared" si="4"/>
        <v>156</v>
      </c>
    </row>
    <row r="313" ht="15.75" spans="1:13">
      <c r="A313" s="35" t="s">
        <v>354</v>
      </c>
      <c r="B313" s="36">
        <v>46204</v>
      </c>
      <c r="C313" s="35" t="s">
        <v>26</v>
      </c>
      <c r="D313" s="35" t="s">
        <v>47</v>
      </c>
      <c r="E313" s="35" t="s">
        <v>48</v>
      </c>
      <c r="F313" s="35" t="s">
        <v>16</v>
      </c>
      <c r="G313" s="35" t="s">
        <v>49</v>
      </c>
      <c r="H313" s="35" t="s">
        <v>18</v>
      </c>
      <c r="I313" s="37">
        <v>25</v>
      </c>
      <c r="J313" s="38">
        <v>145</v>
      </c>
      <c r="K313" s="35" t="s">
        <v>19</v>
      </c>
      <c r="L313" s="35" t="s">
        <v>20</v>
      </c>
      <c r="M313" s="38">
        <f t="shared" si="4"/>
        <v>3625</v>
      </c>
    </row>
    <row r="314" ht="15.75" spans="1:13">
      <c r="A314" s="35" t="s">
        <v>355</v>
      </c>
      <c r="B314" s="36">
        <v>46261</v>
      </c>
      <c r="C314" s="35" t="s">
        <v>52</v>
      </c>
      <c r="D314" s="35" t="s">
        <v>14</v>
      </c>
      <c r="E314" s="35" t="s">
        <v>15</v>
      </c>
      <c r="F314" s="35" t="s">
        <v>16</v>
      </c>
      <c r="G314" s="35" t="s">
        <v>45</v>
      </c>
      <c r="H314" s="35" t="s">
        <v>18</v>
      </c>
      <c r="I314" s="37">
        <v>7</v>
      </c>
      <c r="J314" s="38">
        <v>185</v>
      </c>
      <c r="K314" s="35" t="s">
        <v>19</v>
      </c>
      <c r="L314" s="35" t="s">
        <v>24</v>
      </c>
      <c r="M314" s="38">
        <f t="shared" si="4"/>
        <v>1295</v>
      </c>
    </row>
    <row r="315" ht="15.75" spans="1:13">
      <c r="A315" s="35" t="s">
        <v>356</v>
      </c>
      <c r="B315" s="36">
        <v>46205</v>
      </c>
      <c r="C315" s="35" t="s">
        <v>26</v>
      </c>
      <c r="D315" s="35" t="s">
        <v>37</v>
      </c>
      <c r="E315" s="35" t="s">
        <v>33</v>
      </c>
      <c r="F315" s="35" t="s">
        <v>16</v>
      </c>
      <c r="G315" s="35" t="s">
        <v>17</v>
      </c>
      <c r="H315" s="35" t="s">
        <v>18</v>
      </c>
      <c r="I315" s="37">
        <v>22</v>
      </c>
      <c r="J315" s="38">
        <v>260</v>
      </c>
      <c r="K315" s="35" t="s">
        <v>19</v>
      </c>
      <c r="L315" s="35" t="s">
        <v>20</v>
      </c>
      <c r="M315" s="38">
        <f t="shared" si="4"/>
        <v>5720</v>
      </c>
    </row>
    <row r="316" ht="15.75" spans="1:13">
      <c r="A316" s="35" t="s">
        <v>357</v>
      </c>
      <c r="B316" s="36">
        <v>46252</v>
      </c>
      <c r="C316" s="35" t="s">
        <v>22</v>
      </c>
      <c r="D316" s="35" t="s">
        <v>37</v>
      </c>
      <c r="E316" s="35" t="s">
        <v>33</v>
      </c>
      <c r="F316" s="35" t="s">
        <v>16</v>
      </c>
      <c r="G316" s="35" t="s">
        <v>45</v>
      </c>
      <c r="H316" s="35" t="s">
        <v>18</v>
      </c>
      <c r="I316" s="37">
        <v>35</v>
      </c>
      <c r="J316" s="38">
        <v>185</v>
      </c>
      <c r="K316" s="35" t="s">
        <v>19</v>
      </c>
      <c r="L316" s="35" t="s">
        <v>24</v>
      </c>
      <c r="M316" s="38">
        <f t="shared" si="4"/>
        <v>6475</v>
      </c>
    </row>
    <row r="317" ht="15.75" spans="1:13">
      <c r="A317" s="35" t="s">
        <v>358</v>
      </c>
      <c r="B317" s="36">
        <v>46239</v>
      </c>
      <c r="C317" s="35" t="s">
        <v>52</v>
      </c>
      <c r="D317" s="35" t="s">
        <v>42</v>
      </c>
      <c r="E317" s="35" t="s">
        <v>15</v>
      </c>
      <c r="F317" s="35" t="s">
        <v>40</v>
      </c>
      <c r="G317" s="35" t="s">
        <v>45</v>
      </c>
      <c r="H317" s="35" t="s">
        <v>18</v>
      </c>
      <c r="I317" s="37">
        <v>6</v>
      </c>
      <c r="J317" s="38">
        <v>185</v>
      </c>
      <c r="K317" s="35" t="s">
        <v>19</v>
      </c>
      <c r="L317" s="35" t="s">
        <v>20</v>
      </c>
      <c r="M317" s="38">
        <f t="shared" si="4"/>
        <v>1110</v>
      </c>
    </row>
    <row r="318" ht="15.75" spans="1:13">
      <c r="A318" s="35" t="s">
        <v>359</v>
      </c>
      <c r="B318" s="36">
        <v>46267</v>
      </c>
      <c r="C318" s="35" t="s">
        <v>22</v>
      </c>
      <c r="D318" s="35" t="s">
        <v>78</v>
      </c>
      <c r="E318" s="35" t="s">
        <v>48</v>
      </c>
      <c r="F318" s="35" t="s">
        <v>28</v>
      </c>
      <c r="G318" s="35" t="s">
        <v>49</v>
      </c>
      <c r="H318" s="35" t="s">
        <v>18</v>
      </c>
      <c r="I318" s="37">
        <v>17</v>
      </c>
      <c r="J318" s="38">
        <v>145</v>
      </c>
      <c r="K318" s="35" t="s">
        <v>19</v>
      </c>
      <c r="L318" s="35" t="s">
        <v>24</v>
      </c>
      <c r="M318" s="38">
        <f t="shared" si="4"/>
        <v>2465</v>
      </c>
    </row>
    <row r="319" ht="15.75" spans="1:13">
      <c r="A319" s="35" t="s">
        <v>360</v>
      </c>
      <c r="B319" s="36">
        <v>46252</v>
      </c>
      <c r="C319" s="35" t="s">
        <v>26</v>
      </c>
      <c r="D319" s="35" t="s">
        <v>39</v>
      </c>
      <c r="E319" s="35" t="s">
        <v>15</v>
      </c>
      <c r="F319" s="35" t="s">
        <v>40</v>
      </c>
      <c r="G319" s="35" t="s">
        <v>35</v>
      </c>
      <c r="H319" s="35" t="s">
        <v>30</v>
      </c>
      <c r="I319" s="37">
        <v>23</v>
      </c>
      <c r="J319" s="38">
        <v>210</v>
      </c>
      <c r="K319" s="35" t="s">
        <v>19</v>
      </c>
      <c r="L319" s="35" t="s">
        <v>24</v>
      </c>
      <c r="M319" s="38">
        <f t="shared" si="4"/>
        <v>4830</v>
      </c>
    </row>
    <row r="320" ht="15.75" spans="1:13">
      <c r="A320" s="35" t="s">
        <v>361</v>
      </c>
      <c r="B320" s="36">
        <v>46292</v>
      </c>
      <c r="C320" s="35" t="s">
        <v>22</v>
      </c>
      <c r="D320" s="35" t="s">
        <v>53</v>
      </c>
      <c r="E320" s="35" t="s">
        <v>48</v>
      </c>
      <c r="F320" s="35" t="s">
        <v>28</v>
      </c>
      <c r="G320" s="35" t="s">
        <v>45</v>
      </c>
      <c r="H320" s="35" t="s">
        <v>18</v>
      </c>
      <c r="I320" s="37">
        <v>21</v>
      </c>
      <c r="J320" s="38">
        <v>185</v>
      </c>
      <c r="K320" s="35" t="s">
        <v>19</v>
      </c>
      <c r="L320" s="35" t="s">
        <v>24</v>
      </c>
      <c r="M320" s="38">
        <f t="shared" si="4"/>
        <v>3885</v>
      </c>
    </row>
    <row r="321" ht="15.75" spans="1:13">
      <c r="A321" s="35" t="s">
        <v>362</v>
      </c>
      <c r="B321" s="36">
        <v>46285</v>
      </c>
      <c r="C321" s="35" t="s">
        <v>52</v>
      </c>
      <c r="D321" s="35" t="s">
        <v>47</v>
      </c>
      <c r="E321" s="35" t="s">
        <v>48</v>
      </c>
      <c r="F321" s="35" t="s">
        <v>16</v>
      </c>
      <c r="G321" s="35" t="s">
        <v>49</v>
      </c>
      <c r="H321" s="35" t="s">
        <v>18</v>
      </c>
      <c r="I321" s="37">
        <v>20</v>
      </c>
      <c r="J321" s="38">
        <v>145</v>
      </c>
      <c r="K321" s="35" t="s">
        <v>20</v>
      </c>
      <c r="L321" s="35" t="s">
        <v>20</v>
      </c>
      <c r="M321" s="38">
        <f t="shared" si="4"/>
        <v>2900</v>
      </c>
    </row>
    <row r="322" ht="15.75" spans="1:13">
      <c r="A322" s="35" t="s">
        <v>363</v>
      </c>
      <c r="B322" s="36">
        <v>46254</v>
      </c>
      <c r="C322" s="35" t="s">
        <v>26</v>
      </c>
      <c r="D322" s="35" t="s">
        <v>78</v>
      </c>
      <c r="E322" s="35" t="s">
        <v>48</v>
      </c>
      <c r="F322" s="35" t="s">
        <v>28</v>
      </c>
      <c r="G322" s="35" t="s">
        <v>35</v>
      </c>
      <c r="H322" s="35" t="s">
        <v>30</v>
      </c>
      <c r="I322" s="37">
        <v>19</v>
      </c>
      <c r="J322" s="38">
        <v>210</v>
      </c>
      <c r="K322" s="35" t="s">
        <v>19</v>
      </c>
      <c r="L322" s="35" t="s">
        <v>24</v>
      </c>
      <c r="M322" s="38">
        <f t="shared" si="4"/>
        <v>3990</v>
      </c>
    </row>
    <row r="323" ht="15.75" spans="1:13">
      <c r="A323" s="35" t="s">
        <v>364</v>
      </c>
      <c r="B323" s="36">
        <v>46274</v>
      </c>
      <c r="C323" s="35" t="s">
        <v>13</v>
      </c>
      <c r="D323" s="35" t="s">
        <v>53</v>
      </c>
      <c r="E323" s="35" t="s">
        <v>48</v>
      </c>
      <c r="F323" s="35" t="s">
        <v>28</v>
      </c>
      <c r="G323" s="35" t="s">
        <v>23</v>
      </c>
      <c r="H323" s="35" t="s">
        <v>18</v>
      </c>
      <c r="I323" s="37">
        <v>13</v>
      </c>
      <c r="J323" s="38">
        <v>175</v>
      </c>
      <c r="K323" s="35" t="s">
        <v>20</v>
      </c>
      <c r="L323" s="35" t="s">
        <v>24</v>
      </c>
      <c r="M323" s="38">
        <f t="shared" ref="M323:M386" si="5">I323*J323</f>
        <v>2275</v>
      </c>
    </row>
    <row r="324" ht="15.75" spans="1:13">
      <c r="A324" s="35" t="s">
        <v>365</v>
      </c>
      <c r="B324" s="36">
        <v>46212</v>
      </c>
      <c r="C324" s="35" t="s">
        <v>52</v>
      </c>
      <c r="D324" s="35" t="s">
        <v>27</v>
      </c>
      <c r="E324" s="35" t="s">
        <v>15</v>
      </c>
      <c r="F324" s="35" t="s">
        <v>28</v>
      </c>
      <c r="G324" s="35" t="s">
        <v>35</v>
      </c>
      <c r="H324" s="35" t="s">
        <v>30</v>
      </c>
      <c r="I324" s="37">
        <v>20</v>
      </c>
      <c r="J324" s="38">
        <v>210</v>
      </c>
      <c r="K324" s="35" t="s">
        <v>19</v>
      </c>
      <c r="L324" s="35" t="s">
        <v>24</v>
      </c>
      <c r="M324" s="38">
        <f t="shared" si="5"/>
        <v>4200</v>
      </c>
    </row>
    <row r="325" ht="15.75" spans="1:13">
      <c r="A325" s="35" t="s">
        <v>366</v>
      </c>
      <c r="B325" s="36">
        <v>46295</v>
      </c>
      <c r="C325" s="35" t="s">
        <v>52</v>
      </c>
      <c r="D325" s="35" t="s">
        <v>57</v>
      </c>
      <c r="E325" s="35" t="s">
        <v>15</v>
      </c>
      <c r="F325" s="35" t="s">
        <v>40</v>
      </c>
      <c r="G325" s="35" t="s">
        <v>45</v>
      </c>
      <c r="H325" s="35" t="s">
        <v>18</v>
      </c>
      <c r="I325" s="37">
        <v>18</v>
      </c>
      <c r="J325" s="38">
        <v>185</v>
      </c>
      <c r="K325" s="35" t="s">
        <v>20</v>
      </c>
      <c r="L325" s="35" t="s">
        <v>24</v>
      </c>
      <c r="M325" s="38">
        <f t="shared" si="5"/>
        <v>3330</v>
      </c>
    </row>
    <row r="326" ht="15.75" spans="1:13">
      <c r="A326" s="35" t="s">
        <v>367</v>
      </c>
      <c r="B326" s="36">
        <v>46292</v>
      </c>
      <c r="C326" s="35" t="s">
        <v>52</v>
      </c>
      <c r="D326" s="35" t="s">
        <v>53</v>
      </c>
      <c r="E326" s="35" t="s">
        <v>48</v>
      </c>
      <c r="F326" s="35" t="s">
        <v>28</v>
      </c>
      <c r="G326" s="35" t="s">
        <v>35</v>
      </c>
      <c r="H326" s="35" t="s">
        <v>30</v>
      </c>
      <c r="I326" s="37">
        <v>27</v>
      </c>
      <c r="J326" s="38">
        <v>210</v>
      </c>
      <c r="K326" s="35" t="s">
        <v>19</v>
      </c>
      <c r="L326" s="35" t="s">
        <v>20</v>
      </c>
      <c r="M326" s="38">
        <f t="shared" si="5"/>
        <v>5670</v>
      </c>
    </row>
    <row r="327" ht="15.75" spans="1:13">
      <c r="A327" s="35" t="s">
        <v>368</v>
      </c>
      <c r="B327" s="36">
        <v>46235</v>
      </c>
      <c r="C327" s="35" t="s">
        <v>26</v>
      </c>
      <c r="D327" s="35" t="s">
        <v>78</v>
      </c>
      <c r="E327" s="35" t="s">
        <v>48</v>
      </c>
      <c r="F327" s="35" t="s">
        <v>28</v>
      </c>
      <c r="G327" s="35" t="s">
        <v>29</v>
      </c>
      <c r="H327" s="35" t="s">
        <v>30</v>
      </c>
      <c r="I327" s="37">
        <v>7</v>
      </c>
      <c r="J327" s="38">
        <v>26</v>
      </c>
      <c r="K327" s="35" t="s">
        <v>19</v>
      </c>
      <c r="L327" s="35" t="s">
        <v>24</v>
      </c>
      <c r="M327" s="38">
        <f t="shared" si="5"/>
        <v>182</v>
      </c>
    </row>
    <row r="328" ht="15.75" spans="1:13">
      <c r="A328" s="35" t="s">
        <v>369</v>
      </c>
      <c r="B328" s="36">
        <v>46246</v>
      </c>
      <c r="C328" s="35" t="s">
        <v>52</v>
      </c>
      <c r="D328" s="35" t="s">
        <v>53</v>
      </c>
      <c r="E328" s="35" t="s">
        <v>48</v>
      </c>
      <c r="F328" s="35" t="s">
        <v>28</v>
      </c>
      <c r="G328" s="35" t="s">
        <v>29</v>
      </c>
      <c r="H328" s="35" t="s">
        <v>30</v>
      </c>
      <c r="I328" s="37">
        <v>27</v>
      </c>
      <c r="J328" s="38">
        <v>26</v>
      </c>
      <c r="K328" s="35" t="s">
        <v>19</v>
      </c>
      <c r="L328" s="35" t="s">
        <v>24</v>
      </c>
      <c r="M328" s="38">
        <f t="shared" si="5"/>
        <v>702</v>
      </c>
    </row>
    <row r="329" ht="15.75" spans="1:13">
      <c r="A329" s="35" t="s">
        <v>370</v>
      </c>
      <c r="B329" s="36">
        <v>46292</v>
      </c>
      <c r="C329" s="35" t="s">
        <v>22</v>
      </c>
      <c r="D329" s="35" t="s">
        <v>27</v>
      </c>
      <c r="E329" s="35" t="s">
        <v>15</v>
      </c>
      <c r="F329" s="35" t="s">
        <v>28</v>
      </c>
      <c r="G329" s="35" t="s">
        <v>23</v>
      </c>
      <c r="H329" s="35" t="s">
        <v>18</v>
      </c>
      <c r="I329" s="37">
        <v>35</v>
      </c>
      <c r="J329" s="38">
        <v>175</v>
      </c>
      <c r="K329" s="35" t="s">
        <v>19</v>
      </c>
      <c r="L329" s="35" t="s">
        <v>24</v>
      </c>
      <c r="M329" s="38">
        <f t="shared" si="5"/>
        <v>6125</v>
      </c>
    </row>
    <row r="330" ht="15.75" spans="1:13">
      <c r="A330" s="35" t="s">
        <v>371</v>
      </c>
      <c r="B330" s="36">
        <v>46207</v>
      </c>
      <c r="C330" s="35" t="s">
        <v>52</v>
      </c>
      <c r="D330" s="35" t="s">
        <v>53</v>
      </c>
      <c r="E330" s="35" t="s">
        <v>48</v>
      </c>
      <c r="F330" s="35" t="s">
        <v>28</v>
      </c>
      <c r="G330" s="35" t="s">
        <v>29</v>
      </c>
      <c r="H330" s="35" t="s">
        <v>30</v>
      </c>
      <c r="I330" s="37">
        <v>34</v>
      </c>
      <c r="J330" s="38">
        <v>26</v>
      </c>
      <c r="K330" s="35" t="s">
        <v>19</v>
      </c>
      <c r="L330" s="35" t="s">
        <v>24</v>
      </c>
      <c r="M330" s="38">
        <f t="shared" si="5"/>
        <v>884</v>
      </c>
    </row>
    <row r="331" ht="15.75" spans="1:13">
      <c r="A331" s="35" t="s">
        <v>372</v>
      </c>
      <c r="B331" s="36">
        <v>46247</v>
      </c>
      <c r="C331" s="35" t="s">
        <v>52</v>
      </c>
      <c r="D331" s="35" t="s">
        <v>14</v>
      </c>
      <c r="E331" s="35" t="s">
        <v>15</v>
      </c>
      <c r="F331" s="35" t="s">
        <v>16</v>
      </c>
      <c r="G331" s="35" t="s">
        <v>17</v>
      </c>
      <c r="H331" s="35" t="s">
        <v>18</v>
      </c>
      <c r="I331" s="37">
        <v>11</v>
      </c>
      <c r="J331" s="38">
        <v>260</v>
      </c>
      <c r="K331" s="35" t="s">
        <v>20</v>
      </c>
      <c r="L331" s="35" t="s">
        <v>24</v>
      </c>
      <c r="M331" s="38">
        <f t="shared" si="5"/>
        <v>2860</v>
      </c>
    </row>
    <row r="332" ht="15.75" spans="1:13">
      <c r="A332" s="35" t="s">
        <v>373</v>
      </c>
      <c r="B332" s="36">
        <v>46293</v>
      </c>
      <c r="C332" s="35" t="s">
        <v>52</v>
      </c>
      <c r="D332" s="35" t="s">
        <v>78</v>
      </c>
      <c r="E332" s="35" t="s">
        <v>48</v>
      </c>
      <c r="F332" s="35" t="s">
        <v>28</v>
      </c>
      <c r="G332" s="35" t="s">
        <v>35</v>
      </c>
      <c r="H332" s="35" t="s">
        <v>30</v>
      </c>
      <c r="I332" s="37">
        <v>8</v>
      </c>
      <c r="J332" s="38">
        <v>210</v>
      </c>
      <c r="K332" s="35" t="s">
        <v>19</v>
      </c>
      <c r="L332" s="35" t="s">
        <v>24</v>
      </c>
      <c r="M332" s="38">
        <f t="shared" si="5"/>
        <v>1680</v>
      </c>
    </row>
    <row r="333" ht="15.75" spans="1:13">
      <c r="A333" s="35" t="s">
        <v>374</v>
      </c>
      <c r="B333" s="36">
        <v>46290</v>
      </c>
      <c r="C333" s="35" t="s">
        <v>22</v>
      </c>
      <c r="D333" s="35" t="s">
        <v>14</v>
      </c>
      <c r="E333" s="35" t="s">
        <v>15</v>
      </c>
      <c r="F333" s="35" t="s">
        <v>16</v>
      </c>
      <c r="G333" s="35" t="s">
        <v>17</v>
      </c>
      <c r="H333" s="35" t="s">
        <v>18</v>
      </c>
      <c r="I333" s="37">
        <v>23</v>
      </c>
      <c r="J333" s="38">
        <v>260</v>
      </c>
      <c r="K333" s="35" t="s">
        <v>20</v>
      </c>
      <c r="L333" s="35" t="s">
        <v>20</v>
      </c>
      <c r="M333" s="38">
        <f t="shared" si="5"/>
        <v>5980</v>
      </c>
    </row>
    <row r="334" ht="15.75" spans="1:13">
      <c r="A334" s="35" t="s">
        <v>375</v>
      </c>
      <c r="B334" s="36">
        <v>46258</v>
      </c>
      <c r="C334" s="35" t="s">
        <v>52</v>
      </c>
      <c r="D334" s="35" t="s">
        <v>37</v>
      </c>
      <c r="E334" s="35" t="s">
        <v>33</v>
      </c>
      <c r="F334" s="35" t="s">
        <v>16</v>
      </c>
      <c r="G334" s="35" t="s">
        <v>45</v>
      </c>
      <c r="H334" s="35" t="s">
        <v>18</v>
      </c>
      <c r="I334" s="37">
        <v>12</v>
      </c>
      <c r="J334" s="38">
        <v>185</v>
      </c>
      <c r="K334" s="35" t="s">
        <v>19</v>
      </c>
      <c r="L334" s="35" t="s">
        <v>24</v>
      </c>
      <c r="M334" s="38">
        <f t="shared" si="5"/>
        <v>2220</v>
      </c>
    </row>
    <row r="335" ht="15.75" spans="1:13">
      <c r="A335" s="35" t="s">
        <v>376</v>
      </c>
      <c r="B335" s="36">
        <v>46282</v>
      </c>
      <c r="C335" s="35" t="s">
        <v>22</v>
      </c>
      <c r="D335" s="35" t="s">
        <v>32</v>
      </c>
      <c r="E335" s="35" t="s">
        <v>33</v>
      </c>
      <c r="F335" s="35" t="s">
        <v>16</v>
      </c>
      <c r="G335" s="35" t="s">
        <v>45</v>
      </c>
      <c r="H335" s="35" t="s">
        <v>18</v>
      </c>
      <c r="I335" s="37">
        <v>29</v>
      </c>
      <c r="J335" s="38">
        <v>185</v>
      </c>
      <c r="K335" s="35" t="s">
        <v>19</v>
      </c>
      <c r="L335" s="35" t="s">
        <v>24</v>
      </c>
      <c r="M335" s="38">
        <f t="shared" si="5"/>
        <v>5365</v>
      </c>
    </row>
    <row r="336" ht="15.75" spans="1:13">
      <c r="A336" s="35" t="s">
        <v>377</v>
      </c>
      <c r="B336" s="36">
        <v>46294</v>
      </c>
      <c r="C336" s="35" t="s">
        <v>13</v>
      </c>
      <c r="D336" s="35" t="s">
        <v>39</v>
      </c>
      <c r="E336" s="35" t="s">
        <v>15</v>
      </c>
      <c r="F336" s="35" t="s">
        <v>40</v>
      </c>
      <c r="G336" s="35" t="s">
        <v>29</v>
      </c>
      <c r="H336" s="35" t="s">
        <v>30</v>
      </c>
      <c r="I336" s="37">
        <v>15</v>
      </c>
      <c r="J336" s="38">
        <v>26</v>
      </c>
      <c r="K336" s="35" t="s">
        <v>19</v>
      </c>
      <c r="L336" s="35" t="s">
        <v>20</v>
      </c>
      <c r="M336" s="38">
        <f t="shared" si="5"/>
        <v>390</v>
      </c>
    </row>
    <row r="337" ht="15.75" spans="1:13">
      <c r="A337" s="35" t="s">
        <v>378</v>
      </c>
      <c r="B337" s="36">
        <v>46262</v>
      </c>
      <c r="C337" s="35" t="s">
        <v>13</v>
      </c>
      <c r="D337" s="35" t="s">
        <v>37</v>
      </c>
      <c r="E337" s="35" t="s">
        <v>33</v>
      </c>
      <c r="F337" s="35" t="s">
        <v>16</v>
      </c>
      <c r="G337" s="35" t="s">
        <v>45</v>
      </c>
      <c r="H337" s="35" t="s">
        <v>18</v>
      </c>
      <c r="I337" s="37">
        <v>25</v>
      </c>
      <c r="J337" s="38">
        <v>185</v>
      </c>
      <c r="K337" s="35" t="s">
        <v>19</v>
      </c>
      <c r="L337" s="35" t="s">
        <v>20</v>
      </c>
      <c r="M337" s="38">
        <f t="shared" si="5"/>
        <v>4625</v>
      </c>
    </row>
    <row r="338" ht="15.75" spans="1:13">
      <c r="A338" s="35" t="s">
        <v>379</v>
      </c>
      <c r="B338" s="36">
        <v>46282</v>
      </c>
      <c r="C338" s="35" t="s">
        <v>52</v>
      </c>
      <c r="D338" s="35" t="s">
        <v>37</v>
      </c>
      <c r="E338" s="35" t="s">
        <v>33</v>
      </c>
      <c r="F338" s="35" t="s">
        <v>16</v>
      </c>
      <c r="G338" s="35" t="s">
        <v>29</v>
      </c>
      <c r="H338" s="35" t="s">
        <v>30</v>
      </c>
      <c r="I338" s="37">
        <v>22</v>
      </c>
      <c r="J338" s="38">
        <v>26</v>
      </c>
      <c r="K338" s="35" t="s">
        <v>19</v>
      </c>
      <c r="L338" s="35" t="s">
        <v>24</v>
      </c>
      <c r="M338" s="38">
        <f t="shared" si="5"/>
        <v>572</v>
      </c>
    </row>
    <row r="339" ht="15.75" spans="1:13">
      <c r="A339" s="35" t="s">
        <v>380</v>
      </c>
      <c r="B339" s="36">
        <v>46294</v>
      </c>
      <c r="C339" s="35" t="s">
        <v>26</v>
      </c>
      <c r="D339" s="35" t="s">
        <v>42</v>
      </c>
      <c r="E339" s="35" t="s">
        <v>15</v>
      </c>
      <c r="F339" s="35" t="s">
        <v>40</v>
      </c>
      <c r="G339" s="35" t="s">
        <v>23</v>
      </c>
      <c r="H339" s="35" t="s">
        <v>18</v>
      </c>
      <c r="I339" s="37">
        <v>13</v>
      </c>
      <c r="J339" s="38">
        <v>175</v>
      </c>
      <c r="K339" s="35" t="s">
        <v>20</v>
      </c>
      <c r="L339" s="35" t="s">
        <v>24</v>
      </c>
      <c r="M339" s="38">
        <f t="shared" si="5"/>
        <v>2275</v>
      </c>
    </row>
    <row r="340" ht="15.75" spans="1:13">
      <c r="A340" s="35" t="s">
        <v>381</v>
      </c>
      <c r="B340" s="36">
        <v>46218</v>
      </c>
      <c r="C340" s="35" t="s">
        <v>22</v>
      </c>
      <c r="D340" s="35" t="s">
        <v>32</v>
      </c>
      <c r="E340" s="35" t="s">
        <v>33</v>
      </c>
      <c r="F340" s="35" t="s">
        <v>16</v>
      </c>
      <c r="G340" s="35" t="s">
        <v>49</v>
      </c>
      <c r="H340" s="35" t="s">
        <v>18</v>
      </c>
      <c r="I340" s="37">
        <v>9</v>
      </c>
      <c r="J340" s="38">
        <v>145</v>
      </c>
      <c r="K340" s="35" t="s">
        <v>19</v>
      </c>
      <c r="L340" s="35" t="s">
        <v>24</v>
      </c>
      <c r="M340" s="38">
        <f t="shared" si="5"/>
        <v>1305</v>
      </c>
    </row>
    <row r="341" ht="15.75" spans="1:13">
      <c r="A341" s="35" t="s">
        <v>382</v>
      </c>
      <c r="B341" s="36">
        <v>46258</v>
      </c>
      <c r="C341" s="35" t="s">
        <v>22</v>
      </c>
      <c r="D341" s="35" t="s">
        <v>47</v>
      </c>
      <c r="E341" s="35" t="s">
        <v>48</v>
      </c>
      <c r="F341" s="35" t="s">
        <v>16</v>
      </c>
      <c r="G341" s="35" t="s">
        <v>35</v>
      </c>
      <c r="H341" s="35" t="s">
        <v>30</v>
      </c>
      <c r="I341" s="37">
        <v>10</v>
      </c>
      <c r="J341" s="38">
        <v>210</v>
      </c>
      <c r="K341" s="35" t="s">
        <v>19</v>
      </c>
      <c r="L341" s="35" t="s">
        <v>24</v>
      </c>
      <c r="M341" s="38">
        <f t="shared" si="5"/>
        <v>2100</v>
      </c>
    </row>
    <row r="342" ht="15.75" spans="1:13">
      <c r="A342" s="35" t="s">
        <v>383</v>
      </c>
      <c r="B342" s="36">
        <v>46221</v>
      </c>
      <c r="C342" s="35" t="s">
        <v>22</v>
      </c>
      <c r="D342" s="35" t="s">
        <v>32</v>
      </c>
      <c r="E342" s="35" t="s">
        <v>33</v>
      </c>
      <c r="F342" s="35" t="s">
        <v>16</v>
      </c>
      <c r="G342" s="35" t="s">
        <v>23</v>
      </c>
      <c r="H342" s="35" t="s">
        <v>18</v>
      </c>
      <c r="I342" s="37">
        <v>12</v>
      </c>
      <c r="J342" s="38">
        <v>175</v>
      </c>
      <c r="K342" s="35" t="s">
        <v>19</v>
      </c>
      <c r="L342" s="35" t="s">
        <v>24</v>
      </c>
      <c r="M342" s="38">
        <f t="shared" si="5"/>
        <v>2100</v>
      </c>
    </row>
    <row r="343" ht="15.75" spans="1:13">
      <c r="A343" s="35" t="s">
        <v>384</v>
      </c>
      <c r="B343" s="36">
        <v>46228</v>
      </c>
      <c r="C343" s="35" t="s">
        <v>52</v>
      </c>
      <c r="D343" s="35" t="s">
        <v>39</v>
      </c>
      <c r="E343" s="35" t="s">
        <v>15</v>
      </c>
      <c r="F343" s="35" t="s">
        <v>40</v>
      </c>
      <c r="G343" s="35" t="s">
        <v>49</v>
      </c>
      <c r="H343" s="35" t="s">
        <v>18</v>
      </c>
      <c r="I343" s="37">
        <v>2</v>
      </c>
      <c r="J343" s="38">
        <v>145</v>
      </c>
      <c r="K343" s="35" t="s">
        <v>20</v>
      </c>
      <c r="L343" s="35" t="s">
        <v>24</v>
      </c>
      <c r="M343" s="38">
        <f t="shared" si="5"/>
        <v>290</v>
      </c>
    </row>
    <row r="344" ht="15.75" spans="1:13">
      <c r="A344" s="35" t="s">
        <v>385</v>
      </c>
      <c r="B344" s="36">
        <v>46260</v>
      </c>
      <c r="C344" s="35" t="s">
        <v>52</v>
      </c>
      <c r="D344" s="35" t="s">
        <v>42</v>
      </c>
      <c r="E344" s="35" t="s">
        <v>15</v>
      </c>
      <c r="F344" s="35" t="s">
        <v>40</v>
      </c>
      <c r="G344" s="35" t="s">
        <v>35</v>
      </c>
      <c r="H344" s="35" t="s">
        <v>30</v>
      </c>
      <c r="I344" s="37">
        <v>33</v>
      </c>
      <c r="J344" s="38">
        <v>210</v>
      </c>
      <c r="K344" s="35" t="s">
        <v>19</v>
      </c>
      <c r="L344" s="35" t="s">
        <v>24</v>
      </c>
      <c r="M344" s="38">
        <f t="shared" si="5"/>
        <v>6930</v>
      </c>
    </row>
    <row r="345" ht="15.75" spans="1:13">
      <c r="A345" s="35" t="s">
        <v>386</v>
      </c>
      <c r="B345" s="36">
        <v>46272</v>
      </c>
      <c r="C345" s="35" t="s">
        <v>26</v>
      </c>
      <c r="D345" s="35" t="s">
        <v>27</v>
      </c>
      <c r="E345" s="35" t="s">
        <v>15</v>
      </c>
      <c r="F345" s="35" t="s">
        <v>28</v>
      </c>
      <c r="G345" s="35" t="s">
        <v>49</v>
      </c>
      <c r="H345" s="35" t="s">
        <v>18</v>
      </c>
      <c r="I345" s="37">
        <v>4</v>
      </c>
      <c r="J345" s="38">
        <v>145</v>
      </c>
      <c r="K345" s="35" t="s">
        <v>19</v>
      </c>
      <c r="L345" s="35" t="s">
        <v>24</v>
      </c>
      <c r="M345" s="38">
        <f t="shared" si="5"/>
        <v>580</v>
      </c>
    </row>
    <row r="346" ht="15.75" spans="1:13">
      <c r="A346" s="35" t="s">
        <v>387</v>
      </c>
      <c r="B346" s="36">
        <v>46218</v>
      </c>
      <c r="C346" s="35" t="s">
        <v>26</v>
      </c>
      <c r="D346" s="35" t="s">
        <v>42</v>
      </c>
      <c r="E346" s="35" t="s">
        <v>15</v>
      </c>
      <c r="F346" s="35" t="s">
        <v>40</v>
      </c>
      <c r="G346" s="35" t="s">
        <v>23</v>
      </c>
      <c r="H346" s="35" t="s">
        <v>18</v>
      </c>
      <c r="I346" s="37">
        <v>34</v>
      </c>
      <c r="J346" s="38">
        <v>175</v>
      </c>
      <c r="K346" s="35" t="s">
        <v>20</v>
      </c>
      <c r="L346" s="35" t="s">
        <v>20</v>
      </c>
      <c r="M346" s="38">
        <f t="shared" si="5"/>
        <v>5950</v>
      </c>
    </row>
    <row r="347" ht="15.75" spans="1:13">
      <c r="A347" s="35" t="s">
        <v>388</v>
      </c>
      <c r="B347" s="36">
        <v>46260</v>
      </c>
      <c r="C347" s="35" t="s">
        <v>22</v>
      </c>
      <c r="D347" s="35" t="s">
        <v>78</v>
      </c>
      <c r="E347" s="35" t="s">
        <v>48</v>
      </c>
      <c r="F347" s="35" t="s">
        <v>28</v>
      </c>
      <c r="G347" s="35" t="s">
        <v>23</v>
      </c>
      <c r="H347" s="35" t="s">
        <v>18</v>
      </c>
      <c r="I347" s="37">
        <v>4</v>
      </c>
      <c r="J347" s="38">
        <v>175</v>
      </c>
      <c r="K347" s="35" t="s">
        <v>20</v>
      </c>
      <c r="L347" s="35" t="s">
        <v>24</v>
      </c>
      <c r="M347" s="38">
        <f t="shared" si="5"/>
        <v>700</v>
      </c>
    </row>
    <row r="348" ht="15.75" spans="1:13">
      <c r="A348" s="35" t="s">
        <v>389</v>
      </c>
      <c r="B348" s="36">
        <v>46248</v>
      </c>
      <c r="C348" s="35" t="s">
        <v>13</v>
      </c>
      <c r="D348" s="35" t="s">
        <v>27</v>
      </c>
      <c r="E348" s="35" t="s">
        <v>15</v>
      </c>
      <c r="F348" s="35" t="s">
        <v>28</v>
      </c>
      <c r="G348" s="35" t="s">
        <v>49</v>
      </c>
      <c r="H348" s="35" t="s">
        <v>18</v>
      </c>
      <c r="I348" s="37">
        <v>4</v>
      </c>
      <c r="J348" s="38">
        <v>145</v>
      </c>
      <c r="K348" s="35" t="s">
        <v>19</v>
      </c>
      <c r="L348" s="35" t="s">
        <v>58</v>
      </c>
      <c r="M348" s="38">
        <f t="shared" si="5"/>
        <v>580</v>
      </c>
    </row>
    <row r="349" ht="15.75" spans="1:13">
      <c r="A349" s="35" t="s">
        <v>390</v>
      </c>
      <c r="B349" s="36">
        <v>46282</v>
      </c>
      <c r="C349" s="35" t="s">
        <v>52</v>
      </c>
      <c r="D349" s="35" t="s">
        <v>27</v>
      </c>
      <c r="E349" s="35" t="s">
        <v>15</v>
      </c>
      <c r="F349" s="35" t="s">
        <v>28</v>
      </c>
      <c r="G349" s="35" t="s">
        <v>45</v>
      </c>
      <c r="H349" s="35" t="s">
        <v>18</v>
      </c>
      <c r="I349" s="37">
        <v>24</v>
      </c>
      <c r="J349" s="38">
        <v>185</v>
      </c>
      <c r="K349" s="35" t="s">
        <v>19</v>
      </c>
      <c r="L349" s="35" t="s">
        <v>24</v>
      </c>
      <c r="M349" s="38">
        <f t="shared" si="5"/>
        <v>4440</v>
      </c>
    </row>
    <row r="350" ht="15.75" spans="1:13">
      <c r="A350" s="35" t="s">
        <v>391</v>
      </c>
      <c r="B350" s="36">
        <v>46272</v>
      </c>
      <c r="C350" s="35" t="s">
        <v>26</v>
      </c>
      <c r="D350" s="35" t="s">
        <v>27</v>
      </c>
      <c r="E350" s="35" t="s">
        <v>15</v>
      </c>
      <c r="F350" s="35" t="s">
        <v>28</v>
      </c>
      <c r="G350" s="35" t="s">
        <v>45</v>
      </c>
      <c r="H350" s="35" t="s">
        <v>18</v>
      </c>
      <c r="I350" s="37">
        <v>5</v>
      </c>
      <c r="J350" s="38">
        <v>185</v>
      </c>
      <c r="K350" s="35" t="s">
        <v>19</v>
      </c>
      <c r="L350" s="35" t="s">
        <v>24</v>
      </c>
      <c r="M350" s="38">
        <f t="shared" si="5"/>
        <v>925</v>
      </c>
    </row>
    <row r="351" ht="15.75" spans="1:13">
      <c r="A351" s="35" t="s">
        <v>392</v>
      </c>
      <c r="B351" s="36">
        <v>46269</v>
      </c>
      <c r="C351" s="35" t="s">
        <v>13</v>
      </c>
      <c r="D351" s="35" t="s">
        <v>57</v>
      </c>
      <c r="E351" s="35" t="s">
        <v>15</v>
      </c>
      <c r="F351" s="35" t="s">
        <v>40</v>
      </c>
      <c r="G351" s="35" t="s">
        <v>49</v>
      </c>
      <c r="H351" s="35" t="s">
        <v>18</v>
      </c>
      <c r="I351" s="37">
        <v>19</v>
      </c>
      <c r="J351" s="38">
        <v>145</v>
      </c>
      <c r="K351" s="35" t="s">
        <v>19</v>
      </c>
      <c r="L351" s="35" t="s">
        <v>20</v>
      </c>
      <c r="M351" s="38">
        <f t="shared" si="5"/>
        <v>2755</v>
      </c>
    </row>
    <row r="352" ht="15.75" spans="1:13">
      <c r="A352" s="35" t="s">
        <v>393</v>
      </c>
      <c r="B352" s="36">
        <v>46220</v>
      </c>
      <c r="C352" s="35" t="s">
        <v>22</v>
      </c>
      <c r="D352" s="35" t="s">
        <v>47</v>
      </c>
      <c r="E352" s="35" t="s">
        <v>48</v>
      </c>
      <c r="F352" s="35" t="s">
        <v>16</v>
      </c>
      <c r="G352" s="35" t="s">
        <v>17</v>
      </c>
      <c r="H352" s="35" t="s">
        <v>18</v>
      </c>
      <c r="I352" s="37">
        <v>19</v>
      </c>
      <c r="J352" s="38">
        <v>260</v>
      </c>
      <c r="K352" s="35" t="s">
        <v>19</v>
      </c>
      <c r="L352" s="35" t="s">
        <v>20</v>
      </c>
      <c r="M352" s="38">
        <f t="shared" si="5"/>
        <v>4940</v>
      </c>
    </row>
    <row r="353" ht="15.75" spans="1:13">
      <c r="A353" s="35" t="s">
        <v>394</v>
      </c>
      <c r="B353" s="36">
        <v>46277</v>
      </c>
      <c r="C353" s="35" t="s">
        <v>26</v>
      </c>
      <c r="D353" s="35" t="s">
        <v>27</v>
      </c>
      <c r="E353" s="35" t="s">
        <v>15</v>
      </c>
      <c r="F353" s="35" t="s">
        <v>28</v>
      </c>
      <c r="G353" s="35" t="s">
        <v>29</v>
      </c>
      <c r="H353" s="35" t="s">
        <v>30</v>
      </c>
      <c r="I353" s="37">
        <v>27</v>
      </c>
      <c r="J353" s="38">
        <v>26</v>
      </c>
      <c r="K353" s="35" t="s">
        <v>19</v>
      </c>
      <c r="L353" s="35" t="s">
        <v>24</v>
      </c>
      <c r="M353" s="38">
        <f t="shared" si="5"/>
        <v>702</v>
      </c>
    </row>
    <row r="354" ht="15.75" spans="1:13">
      <c r="A354" s="35" t="s">
        <v>395</v>
      </c>
      <c r="B354" s="36">
        <v>46239</v>
      </c>
      <c r="C354" s="35" t="s">
        <v>26</v>
      </c>
      <c r="D354" s="35" t="s">
        <v>14</v>
      </c>
      <c r="E354" s="35" t="s">
        <v>15</v>
      </c>
      <c r="F354" s="35" t="s">
        <v>16</v>
      </c>
      <c r="G354" s="35" t="s">
        <v>29</v>
      </c>
      <c r="H354" s="35" t="s">
        <v>30</v>
      </c>
      <c r="I354" s="37">
        <v>7</v>
      </c>
      <c r="J354" s="38">
        <v>26</v>
      </c>
      <c r="K354" s="35" t="s">
        <v>19</v>
      </c>
      <c r="L354" s="35" t="s">
        <v>24</v>
      </c>
      <c r="M354" s="38">
        <f t="shared" si="5"/>
        <v>182</v>
      </c>
    </row>
    <row r="355" ht="15.75" spans="1:13">
      <c r="A355" s="35" t="s">
        <v>396</v>
      </c>
      <c r="B355" s="36">
        <v>46262</v>
      </c>
      <c r="C355" s="35" t="s">
        <v>26</v>
      </c>
      <c r="D355" s="35" t="s">
        <v>53</v>
      </c>
      <c r="E355" s="35" t="s">
        <v>48</v>
      </c>
      <c r="F355" s="35" t="s">
        <v>28</v>
      </c>
      <c r="G355" s="35" t="s">
        <v>17</v>
      </c>
      <c r="H355" s="35" t="s">
        <v>18</v>
      </c>
      <c r="I355" s="37">
        <v>7</v>
      </c>
      <c r="J355" s="38">
        <v>260</v>
      </c>
      <c r="K355" s="35" t="s">
        <v>20</v>
      </c>
      <c r="L355" s="35" t="s">
        <v>20</v>
      </c>
      <c r="M355" s="38">
        <f t="shared" si="5"/>
        <v>1820</v>
      </c>
    </row>
    <row r="356" ht="15.75" spans="1:13">
      <c r="A356" s="35" t="s">
        <v>397</v>
      </c>
      <c r="B356" s="36">
        <v>46267</v>
      </c>
      <c r="C356" s="35" t="s">
        <v>26</v>
      </c>
      <c r="D356" s="35" t="s">
        <v>47</v>
      </c>
      <c r="E356" s="35" t="s">
        <v>48</v>
      </c>
      <c r="F356" s="35" t="s">
        <v>16</v>
      </c>
      <c r="G356" s="35" t="s">
        <v>45</v>
      </c>
      <c r="H356" s="35" t="s">
        <v>18</v>
      </c>
      <c r="I356" s="37">
        <v>29</v>
      </c>
      <c r="J356" s="38">
        <v>185</v>
      </c>
      <c r="K356" s="35" t="s">
        <v>19</v>
      </c>
      <c r="L356" s="35" t="s">
        <v>24</v>
      </c>
      <c r="M356" s="38">
        <f t="shared" si="5"/>
        <v>5365</v>
      </c>
    </row>
    <row r="357" ht="15.75" spans="1:13">
      <c r="A357" s="35" t="s">
        <v>398</v>
      </c>
      <c r="B357" s="36">
        <v>46266</v>
      </c>
      <c r="C357" s="35" t="s">
        <v>26</v>
      </c>
      <c r="D357" s="35" t="s">
        <v>37</v>
      </c>
      <c r="E357" s="35" t="s">
        <v>33</v>
      </c>
      <c r="F357" s="35" t="s">
        <v>16</v>
      </c>
      <c r="G357" s="35" t="s">
        <v>23</v>
      </c>
      <c r="H357" s="35" t="s">
        <v>18</v>
      </c>
      <c r="I357" s="37">
        <v>10</v>
      </c>
      <c r="J357" s="38">
        <v>175</v>
      </c>
      <c r="K357" s="35" t="s">
        <v>20</v>
      </c>
      <c r="L357" s="35" t="s">
        <v>20</v>
      </c>
      <c r="M357" s="38">
        <f t="shared" si="5"/>
        <v>1750</v>
      </c>
    </row>
    <row r="358" ht="15.75" spans="1:13">
      <c r="A358" s="35" t="s">
        <v>399</v>
      </c>
      <c r="B358" s="36">
        <v>46260</v>
      </c>
      <c r="C358" s="35" t="s">
        <v>52</v>
      </c>
      <c r="D358" s="35" t="s">
        <v>39</v>
      </c>
      <c r="E358" s="35" t="s">
        <v>15</v>
      </c>
      <c r="F358" s="35" t="s">
        <v>40</v>
      </c>
      <c r="G358" s="35" t="s">
        <v>17</v>
      </c>
      <c r="H358" s="35" t="s">
        <v>18</v>
      </c>
      <c r="I358" s="37">
        <v>46</v>
      </c>
      <c r="J358" s="38">
        <v>260</v>
      </c>
      <c r="K358" s="35" t="s">
        <v>19</v>
      </c>
      <c r="L358" s="35" t="s">
        <v>58</v>
      </c>
      <c r="M358" s="38">
        <f t="shared" si="5"/>
        <v>11960</v>
      </c>
    </row>
    <row r="359" ht="15.75" spans="1:13">
      <c r="A359" s="35" t="s">
        <v>400</v>
      </c>
      <c r="B359" s="36">
        <v>46242</v>
      </c>
      <c r="C359" s="35" t="s">
        <v>22</v>
      </c>
      <c r="D359" s="35" t="s">
        <v>27</v>
      </c>
      <c r="E359" s="35" t="s">
        <v>15</v>
      </c>
      <c r="F359" s="35" t="s">
        <v>28</v>
      </c>
      <c r="G359" s="35" t="s">
        <v>29</v>
      </c>
      <c r="H359" s="35" t="s">
        <v>30</v>
      </c>
      <c r="I359" s="37">
        <v>10</v>
      </c>
      <c r="J359" s="38">
        <v>26</v>
      </c>
      <c r="K359" s="35" t="s">
        <v>20</v>
      </c>
      <c r="L359" s="35" t="s">
        <v>20</v>
      </c>
      <c r="M359" s="38">
        <f t="shared" si="5"/>
        <v>260</v>
      </c>
    </row>
    <row r="360" ht="15.75" spans="1:13">
      <c r="A360" s="35" t="s">
        <v>401</v>
      </c>
      <c r="B360" s="36">
        <v>46251</v>
      </c>
      <c r="C360" s="35" t="s">
        <v>22</v>
      </c>
      <c r="D360" s="35" t="s">
        <v>14</v>
      </c>
      <c r="E360" s="35" t="s">
        <v>15</v>
      </c>
      <c r="F360" s="35" t="s">
        <v>16</v>
      </c>
      <c r="G360" s="35" t="s">
        <v>29</v>
      </c>
      <c r="H360" s="35" t="s">
        <v>30</v>
      </c>
      <c r="I360" s="37">
        <v>25</v>
      </c>
      <c r="J360" s="38">
        <v>26</v>
      </c>
      <c r="K360" s="35" t="s">
        <v>19</v>
      </c>
      <c r="L360" s="35" t="s">
        <v>24</v>
      </c>
      <c r="M360" s="38">
        <f t="shared" si="5"/>
        <v>650</v>
      </c>
    </row>
    <row r="361" ht="15.75" spans="1:13">
      <c r="A361" s="35" t="s">
        <v>402</v>
      </c>
      <c r="B361" s="36">
        <v>46204</v>
      </c>
      <c r="C361" s="35" t="s">
        <v>22</v>
      </c>
      <c r="D361" s="35" t="s">
        <v>27</v>
      </c>
      <c r="E361" s="35" t="s">
        <v>15</v>
      </c>
      <c r="F361" s="35" t="s">
        <v>28</v>
      </c>
      <c r="G361" s="35" t="s">
        <v>35</v>
      </c>
      <c r="H361" s="35" t="s">
        <v>30</v>
      </c>
      <c r="I361" s="37">
        <v>7</v>
      </c>
      <c r="J361" s="38">
        <v>210</v>
      </c>
      <c r="K361" s="35" t="s">
        <v>19</v>
      </c>
      <c r="L361" s="35" t="s">
        <v>24</v>
      </c>
      <c r="M361" s="38">
        <f t="shared" si="5"/>
        <v>1470</v>
      </c>
    </row>
    <row r="362" ht="15.75" spans="1:13">
      <c r="A362" s="35" t="s">
        <v>403</v>
      </c>
      <c r="B362" s="36">
        <v>46247</v>
      </c>
      <c r="C362" s="35" t="s">
        <v>13</v>
      </c>
      <c r="D362" s="35" t="s">
        <v>27</v>
      </c>
      <c r="E362" s="35" t="s">
        <v>15</v>
      </c>
      <c r="F362" s="35" t="s">
        <v>28</v>
      </c>
      <c r="G362" s="35" t="s">
        <v>23</v>
      </c>
      <c r="H362" s="35" t="s">
        <v>18</v>
      </c>
      <c r="I362" s="37">
        <v>80</v>
      </c>
      <c r="J362" s="38">
        <v>175</v>
      </c>
      <c r="K362" s="35" t="s">
        <v>20</v>
      </c>
      <c r="L362" s="35" t="s">
        <v>24</v>
      </c>
      <c r="M362" s="38">
        <f t="shared" si="5"/>
        <v>14000</v>
      </c>
    </row>
    <row r="363" ht="15.75" spans="1:13">
      <c r="A363" s="35" t="s">
        <v>404</v>
      </c>
      <c r="B363" s="36">
        <v>46215</v>
      </c>
      <c r="C363" s="35" t="s">
        <v>13</v>
      </c>
      <c r="D363" s="35" t="s">
        <v>32</v>
      </c>
      <c r="E363" s="35" t="s">
        <v>33</v>
      </c>
      <c r="F363" s="35" t="s">
        <v>16</v>
      </c>
      <c r="G363" s="35" t="s">
        <v>35</v>
      </c>
      <c r="H363" s="35" t="s">
        <v>30</v>
      </c>
      <c r="I363" s="37">
        <v>6</v>
      </c>
      <c r="J363" s="38">
        <v>210</v>
      </c>
      <c r="K363" s="35" t="s">
        <v>19</v>
      </c>
      <c r="L363" s="35" t="s">
        <v>24</v>
      </c>
      <c r="M363" s="38">
        <f t="shared" si="5"/>
        <v>1260</v>
      </c>
    </row>
    <row r="364" ht="15.75" spans="1:13">
      <c r="A364" s="35" t="s">
        <v>405</v>
      </c>
      <c r="B364" s="36">
        <v>46221</v>
      </c>
      <c r="C364" s="35" t="s">
        <v>22</v>
      </c>
      <c r="D364" s="35" t="s">
        <v>57</v>
      </c>
      <c r="E364" s="35" t="s">
        <v>15</v>
      </c>
      <c r="F364" s="35" t="s">
        <v>40</v>
      </c>
      <c r="G364" s="35" t="s">
        <v>45</v>
      </c>
      <c r="H364" s="35" t="s">
        <v>18</v>
      </c>
      <c r="I364" s="37">
        <v>26</v>
      </c>
      <c r="J364" s="38">
        <v>185</v>
      </c>
      <c r="K364" s="35" t="s">
        <v>19</v>
      </c>
      <c r="L364" s="35" t="s">
        <v>24</v>
      </c>
      <c r="M364" s="38">
        <f t="shared" si="5"/>
        <v>4810</v>
      </c>
    </row>
    <row r="365" ht="15.75" spans="1:13">
      <c r="A365" s="35" t="s">
        <v>406</v>
      </c>
      <c r="B365" s="36">
        <v>46231</v>
      </c>
      <c r="C365" s="35" t="s">
        <v>22</v>
      </c>
      <c r="D365" s="35" t="s">
        <v>53</v>
      </c>
      <c r="E365" s="35" t="s">
        <v>48</v>
      </c>
      <c r="F365" s="35" t="s">
        <v>28</v>
      </c>
      <c r="G365" s="35" t="s">
        <v>29</v>
      </c>
      <c r="H365" s="35" t="s">
        <v>30</v>
      </c>
      <c r="I365" s="37">
        <v>12</v>
      </c>
      <c r="J365" s="38">
        <v>26</v>
      </c>
      <c r="K365" s="35" t="s">
        <v>20</v>
      </c>
      <c r="L365" s="35" t="s">
        <v>24</v>
      </c>
      <c r="M365" s="38">
        <f t="shared" si="5"/>
        <v>312</v>
      </c>
    </row>
    <row r="366" ht="15.75" spans="1:13">
      <c r="A366" s="35" t="s">
        <v>407</v>
      </c>
      <c r="B366" s="36">
        <v>46221</v>
      </c>
      <c r="C366" s="35" t="s">
        <v>13</v>
      </c>
      <c r="D366" s="35" t="s">
        <v>42</v>
      </c>
      <c r="E366" s="35" t="s">
        <v>15</v>
      </c>
      <c r="F366" s="35" t="s">
        <v>40</v>
      </c>
      <c r="G366" s="35" t="s">
        <v>45</v>
      </c>
      <c r="H366" s="35" t="s">
        <v>18</v>
      </c>
      <c r="I366" s="37">
        <v>7</v>
      </c>
      <c r="J366" s="38">
        <v>185</v>
      </c>
      <c r="K366" s="35" t="s">
        <v>19</v>
      </c>
      <c r="L366" s="35" t="s">
        <v>24</v>
      </c>
      <c r="M366" s="38">
        <f t="shared" si="5"/>
        <v>1295</v>
      </c>
    </row>
    <row r="367" ht="15.75" spans="1:13">
      <c r="A367" s="35" t="s">
        <v>408</v>
      </c>
      <c r="B367" s="36">
        <v>46286</v>
      </c>
      <c r="C367" s="35" t="s">
        <v>13</v>
      </c>
      <c r="D367" s="35" t="s">
        <v>47</v>
      </c>
      <c r="E367" s="35" t="s">
        <v>48</v>
      </c>
      <c r="F367" s="35" t="s">
        <v>16</v>
      </c>
      <c r="G367" s="35" t="s">
        <v>49</v>
      </c>
      <c r="H367" s="35" t="s">
        <v>18</v>
      </c>
      <c r="I367" s="37">
        <v>10</v>
      </c>
      <c r="J367" s="38">
        <v>145</v>
      </c>
      <c r="K367" s="35" t="s">
        <v>19</v>
      </c>
      <c r="L367" s="35" t="s">
        <v>24</v>
      </c>
      <c r="M367" s="38">
        <f t="shared" si="5"/>
        <v>1450</v>
      </c>
    </row>
    <row r="368" ht="15.75" spans="1:13">
      <c r="A368" s="35" t="s">
        <v>409</v>
      </c>
      <c r="B368" s="36">
        <v>46288</v>
      </c>
      <c r="C368" s="35" t="s">
        <v>26</v>
      </c>
      <c r="D368" s="35" t="s">
        <v>53</v>
      </c>
      <c r="E368" s="35" t="s">
        <v>48</v>
      </c>
      <c r="F368" s="35" t="s">
        <v>28</v>
      </c>
      <c r="G368" s="35" t="s">
        <v>49</v>
      </c>
      <c r="H368" s="35" t="s">
        <v>18</v>
      </c>
      <c r="I368" s="37">
        <v>3</v>
      </c>
      <c r="J368" s="38">
        <v>145</v>
      </c>
      <c r="K368" s="35" t="s">
        <v>19</v>
      </c>
      <c r="L368" s="35" t="s">
        <v>24</v>
      </c>
      <c r="M368" s="38">
        <f t="shared" si="5"/>
        <v>435</v>
      </c>
    </row>
    <row r="369" ht="15.75" spans="1:13">
      <c r="A369" s="35" t="s">
        <v>410</v>
      </c>
      <c r="B369" s="36">
        <v>46210</v>
      </c>
      <c r="C369" s="35" t="s">
        <v>22</v>
      </c>
      <c r="D369" s="35" t="s">
        <v>27</v>
      </c>
      <c r="E369" s="35" t="s">
        <v>15</v>
      </c>
      <c r="F369" s="35" t="s">
        <v>28</v>
      </c>
      <c r="G369" s="35" t="s">
        <v>29</v>
      </c>
      <c r="H369" s="35" t="s">
        <v>30</v>
      </c>
      <c r="I369" s="37">
        <v>27</v>
      </c>
      <c r="J369" s="38">
        <v>26</v>
      </c>
      <c r="K369" s="35" t="s">
        <v>19</v>
      </c>
      <c r="L369" s="35" t="s">
        <v>24</v>
      </c>
      <c r="M369" s="38">
        <f t="shared" si="5"/>
        <v>702</v>
      </c>
    </row>
    <row r="370" ht="15.75" spans="1:13">
      <c r="A370" s="35" t="s">
        <v>411</v>
      </c>
      <c r="B370" s="36">
        <v>46205</v>
      </c>
      <c r="C370" s="35" t="s">
        <v>26</v>
      </c>
      <c r="D370" s="35" t="s">
        <v>42</v>
      </c>
      <c r="E370" s="35" t="s">
        <v>15</v>
      </c>
      <c r="F370" s="35" t="s">
        <v>40</v>
      </c>
      <c r="G370" s="35" t="s">
        <v>29</v>
      </c>
      <c r="H370" s="35" t="s">
        <v>30</v>
      </c>
      <c r="I370" s="37">
        <v>6</v>
      </c>
      <c r="J370" s="38">
        <v>26</v>
      </c>
      <c r="K370" s="35" t="s">
        <v>20</v>
      </c>
      <c r="L370" s="35" t="s">
        <v>24</v>
      </c>
      <c r="M370" s="38">
        <f t="shared" si="5"/>
        <v>156</v>
      </c>
    </row>
    <row r="371" ht="15.75" spans="1:13">
      <c r="A371" s="35" t="s">
        <v>412</v>
      </c>
      <c r="B371" s="36">
        <v>46226</v>
      </c>
      <c r="C371" s="35" t="s">
        <v>52</v>
      </c>
      <c r="D371" s="35" t="s">
        <v>53</v>
      </c>
      <c r="E371" s="35" t="s">
        <v>48</v>
      </c>
      <c r="F371" s="35" t="s">
        <v>28</v>
      </c>
      <c r="G371" s="35" t="s">
        <v>35</v>
      </c>
      <c r="H371" s="35" t="s">
        <v>30</v>
      </c>
      <c r="I371" s="37">
        <v>25</v>
      </c>
      <c r="J371" s="38">
        <v>210</v>
      </c>
      <c r="K371" s="35" t="s">
        <v>20</v>
      </c>
      <c r="L371" s="35" t="s">
        <v>20</v>
      </c>
      <c r="M371" s="38">
        <f t="shared" si="5"/>
        <v>5250</v>
      </c>
    </row>
    <row r="372" ht="15.75" spans="1:13">
      <c r="A372" s="35" t="s">
        <v>413</v>
      </c>
      <c r="B372" s="36">
        <v>46209</v>
      </c>
      <c r="C372" s="35" t="s">
        <v>13</v>
      </c>
      <c r="D372" s="35" t="s">
        <v>39</v>
      </c>
      <c r="E372" s="35" t="s">
        <v>15</v>
      </c>
      <c r="F372" s="35" t="s">
        <v>40</v>
      </c>
      <c r="G372" s="35" t="s">
        <v>23</v>
      </c>
      <c r="H372" s="35" t="s">
        <v>18</v>
      </c>
      <c r="I372" s="37">
        <v>49</v>
      </c>
      <c r="J372" s="38">
        <v>175</v>
      </c>
      <c r="K372" s="35" t="s">
        <v>20</v>
      </c>
      <c r="L372" s="35" t="s">
        <v>24</v>
      </c>
      <c r="M372" s="38">
        <f t="shared" si="5"/>
        <v>8575</v>
      </c>
    </row>
    <row r="373" ht="15.75" spans="1:13">
      <c r="A373" s="35" t="s">
        <v>414</v>
      </c>
      <c r="B373" s="36">
        <v>46258</v>
      </c>
      <c r="C373" s="35" t="s">
        <v>52</v>
      </c>
      <c r="D373" s="35" t="s">
        <v>57</v>
      </c>
      <c r="E373" s="35" t="s">
        <v>15</v>
      </c>
      <c r="F373" s="35" t="s">
        <v>40</v>
      </c>
      <c r="G373" s="35" t="s">
        <v>29</v>
      </c>
      <c r="H373" s="35" t="s">
        <v>30</v>
      </c>
      <c r="I373" s="37">
        <v>34</v>
      </c>
      <c r="J373" s="38">
        <v>26</v>
      </c>
      <c r="K373" s="35" t="s">
        <v>19</v>
      </c>
      <c r="L373" s="35" t="s">
        <v>24</v>
      </c>
      <c r="M373" s="38">
        <f t="shared" si="5"/>
        <v>884</v>
      </c>
    </row>
    <row r="374" ht="15.75" spans="1:13">
      <c r="A374" s="35" t="s">
        <v>415</v>
      </c>
      <c r="B374" s="36">
        <v>46214</v>
      </c>
      <c r="C374" s="35" t="s">
        <v>22</v>
      </c>
      <c r="D374" s="35" t="s">
        <v>53</v>
      </c>
      <c r="E374" s="35" t="s">
        <v>48</v>
      </c>
      <c r="F374" s="35" t="s">
        <v>28</v>
      </c>
      <c r="G374" s="35" t="s">
        <v>45</v>
      </c>
      <c r="H374" s="35" t="s">
        <v>18</v>
      </c>
      <c r="I374" s="37">
        <v>19</v>
      </c>
      <c r="J374" s="38">
        <v>185</v>
      </c>
      <c r="K374" s="35" t="s">
        <v>20</v>
      </c>
      <c r="L374" s="35" t="s">
        <v>24</v>
      </c>
      <c r="M374" s="38">
        <f t="shared" si="5"/>
        <v>3515</v>
      </c>
    </row>
    <row r="375" ht="15.75" spans="1:13">
      <c r="A375" s="35" t="s">
        <v>416</v>
      </c>
      <c r="B375" s="36">
        <v>46259</v>
      </c>
      <c r="C375" s="35" t="s">
        <v>22</v>
      </c>
      <c r="D375" s="35" t="s">
        <v>78</v>
      </c>
      <c r="E375" s="35" t="s">
        <v>48</v>
      </c>
      <c r="F375" s="35" t="s">
        <v>28</v>
      </c>
      <c r="G375" s="35" t="s">
        <v>35</v>
      </c>
      <c r="H375" s="35" t="s">
        <v>30</v>
      </c>
      <c r="I375" s="37">
        <v>6</v>
      </c>
      <c r="J375" s="38">
        <v>210</v>
      </c>
      <c r="K375" s="35" t="s">
        <v>19</v>
      </c>
      <c r="L375" s="35" t="s">
        <v>24</v>
      </c>
      <c r="M375" s="38">
        <f t="shared" si="5"/>
        <v>1260</v>
      </c>
    </row>
    <row r="376" ht="15.75" spans="1:13">
      <c r="A376" s="35" t="s">
        <v>417</v>
      </c>
      <c r="B376" s="36">
        <v>46211</v>
      </c>
      <c r="C376" s="35" t="s">
        <v>26</v>
      </c>
      <c r="D376" s="35" t="s">
        <v>47</v>
      </c>
      <c r="E376" s="35" t="s">
        <v>48</v>
      </c>
      <c r="F376" s="35" t="s">
        <v>16</v>
      </c>
      <c r="G376" s="35" t="s">
        <v>17</v>
      </c>
      <c r="H376" s="35" t="s">
        <v>18</v>
      </c>
      <c r="I376" s="37">
        <v>31</v>
      </c>
      <c r="J376" s="38">
        <v>260</v>
      </c>
      <c r="K376" s="35" t="s">
        <v>19</v>
      </c>
      <c r="L376" s="35" t="s">
        <v>24</v>
      </c>
      <c r="M376" s="38">
        <f t="shared" si="5"/>
        <v>8060</v>
      </c>
    </row>
    <row r="377" ht="15.75" spans="1:13">
      <c r="A377" s="35" t="s">
        <v>418</v>
      </c>
      <c r="B377" s="36">
        <v>46293</v>
      </c>
      <c r="C377" s="35" t="s">
        <v>13</v>
      </c>
      <c r="D377" s="35" t="s">
        <v>32</v>
      </c>
      <c r="E377" s="35" t="s">
        <v>33</v>
      </c>
      <c r="F377" s="35" t="s">
        <v>16</v>
      </c>
      <c r="G377" s="35" t="s">
        <v>17</v>
      </c>
      <c r="H377" s="35" t="s">
        <v>18</v>
      </c>
      <c r="I377" s="37">
        <v>2</v>
      </c>
      <c r="J377" s="38">
        <v>260</v>
      </c>
      <c r="K377" s="35" t="s">
        <v>19</v>
      </c>
      <c r="L377" s="35" t="s">
        <v>58</v>
      </c>
      <c r="M377" s="38">
        <f t="shared" si="5"/>
        <v>520</v>
      </c>
    </row>
    <row r="378" ht="15.75" spans="1:13">
      <c r="A378" s="35" t="s">
        <v>419</v>
      </c>
      <c r="B378" s="36">
        <v>46220</v>
      </c>
      <c r="C378" s="35" t="s">
        <v>26</v>
      </c>
      <c r="D378" s="35" t="s">
        <v>37</v>
      </c>
      <c r="E378" s="35" t="s">
        <v>33</v>
      </c>
      <c r="F378" s="35" t="s">
        <v>16</v>
      </c>
      <c r="G378" s="35" t="s">
        <v>23</v>
      </c>
      <c r="H378" s="35" t="s">
        <v>18</v>
      </c>
      <c r="I378" s="37">
        <v>18</v>
      </c>
      <c r="J378" s="38">
        <v>175</v>
      </c>
      <c r="K378" s="35" t="s">
        <v>20</v>
      </c>
      <c r="L378" s="35" t="s">
        <v>24</v>
      </c>
      <c r="M378" s="38">
        <f t="shared" si="5"/>
        <v>3150</v>
      </c>
    </row>
    <row r="379" ht="15.75" spans="1:13">
      <c r="A379" s="35" t="s">
        <v>420</v>
      </c>
      <c r="B379" s="36">
        <v>46212</v>
      </c>
      <c r="C379" s="35" t="s">
        <v>26</v>
      </c>
      <c r="D379" s="35" t="s">
        <v>39</v>
      </c>
      <c r="E379" s="35" t="s">
        <v>15</v>
      </c>
      <c r="F379" s="35" t="s">
        <v>40</v>
      </c>
      <c r="G379" s="35" t="s">
        <v>49</v>
      </c>
      <c r="H379" s="35" t="s">
        <v>18</v>
      </c>
      <c r="I379" s="37">
        <v>29</v>
      </c>
      <c r="J379" s="38">
        <v>145</v>
      </c>
      <c r="K379" s="35" t="s">
        <v>19</v>
      </c>
      <c r="L379" s="35" t="s">
        <v>24</v>
      </c>
      <c r="M379" s="38">
        <f t="shared" si="5"/>
        <v>4205</v>
      </c>
    </row>
    <row r="380" ht="15.75" spans="1:13">
      <c r="A380" s="35" t="s">
        <v>421</v>
      </c>
      <c r="B380" s="36">
        <v>46211</v>
      </c>
      <c r="C380" s="35" t="s">
        <v>52</v>
      </c>
      <c r="D380" s="35" t="s">
        <v>14</v>
      </c>
      <c r="E380" s="35" t="s">
        <v>15</v>
      </c>
      <c r="F380" s="35" t="s">
        <v>16</v>
      </c>
      <c r="G380" s="35" t="s">
        <v>35</v>
      </c>
      <c r="H380" s="35" t="s">
        <v>30</v>
      </c>
      <c r="I380" s="37">
        <v>31</v>
      </c>
      <c r="J380" s="38">
        <v>210</v>
      </c>
      <c r="K380" s="35" t="s">
        <v>20</v>
      </c>
      <c r="L380" s="35" t="s">
        <v>24</v>
      </c>
      <c r="M380" s="38">
        <f t="shared" si="5"/>
        <v>6510</v>
      </c>
    </row>
    <row r="381" ht="15.75" spans="1:13">
      <c r="A381" s="35" t="s">
        <v>422</v>
      </c>
      <c r="B381" s="36">
        <v>46290</v>
      </c>
      <c r="C381" s="35" t="s">
        <v>13</v>
      </c>
      <c r="D381" s="35" t="s">
        <v>32</v>
      </c>
      <c r="E381" s="35" t="s">
        <v>33</v>
      </c>
      <c r="F381" s="35" t="s">
        <v>16</v>
      </c>
      <c r="G381" s="35" t="s">
        <v>49</v>
      </c>
      <c r="H381" s="35" t="s">
        <v>18</v>
      </c>
      <c r="I381" s="37">
        <v>8</v>
      </c>
      <c r="J381" s="38">
        <v>145</v>
      </c>
      <c r="K381" s="35" t="s">
        <v>19</v>
      </c>
      <c r="L381" s="35" t="s">
        <v>24</v>
      </c>
      <c r="M381" s="38">
        <f t="shared" si="5"/>
        <v>1160</v>
      </c>
    </row>
    <row r="382" ht="15.75" spans="1:13">
      <c r="A382" s="35" t="s">
        <v>423</v>
      </c>
      <c r="B382" s="36">
        <v>46253</v>
      </c>
      <c r="C382" s="35" t="s">
        <v>22</v>
      </c>
      <c r="D382" s="35" t="s">
        <v>39</v>
      </c>
      <c r="E382" s="35" t="s">
        <v>15</v>
      </c>
      <c r="F382" s="35" t="s">
        <v>40</v>
      </c>
      <c r="G382" s="35" t="s">
        <v>17</v>
      </c>
      <c r="H382" s="35" t="s">
        <v>18</v>
      </c>
      <c r="I382" s="37">
        <v>59</v>
      </c>
      <c r="J382" s="38">
        <v>260</v>
      </c>
      <c r="K382" s="35" t="s">
        <v>19</v>
      </c>
      <c r="L382" s="35" t="s">
        <v>58</v>
      </c>
      <c r="M382" s="38">
        <f t="shared" si="5"/>
        <v>15340</v>
      </c>
    </row>
    <row r="383" ht="15.75" spans="1:13">
      <c r="A383" s="35" t="s">
        <v>424</v>
      </c>
      <c r="B383" s="36">
        <v>46235</v>
      </c>
      <c r="C383" s="35" t="s">
        <v>52</v>
      </c>
      <c r="D383" s="35" t="s">
        <v>39</v>
      </c>
      <c r="E383" s="35" t="s">
        <v>15</v>
      </c>
      <c r="F383" s="35" t="s">
        <v>40</v>
      </c>
      <c r="G383" s="35" t="s">
        <v>23</v>
      </c>
      <c r="H383" s="35" t="s">
        <v>18</v>
      </c>
      <c r="I383" s="37">
        <v>28</v>
      </c>
      <c r="J383" s="38">
        <v>175</v>
      </c>
      <c r="K383" s="35" t="s">
        <v>20</v>
      </c>
      <c r="L383" s="35" t="s">
        <v>24</v>
      </c>
      <c r="M383" s="38">
        <f t="shared" si="5"/>
        <v>4900</v>
      </c>
    </row>
    <row r="384" ht="15.75" spans="1:13">
      <c r="A384" s="35" t="s">
        <v>425</v>
      </c>
      <c r="B384" s="36">
        <v>46290</v>
      </c>
      <c r="C384" s="35" t="s">
        <v>13</v>
      </c>
      <c r="D384" s="35" t="s">
        <v>14</v>
      </c>
      <c r="E384" s="35" t="s">
        <v>15</v>
      </c>
      <c r="F384" s="35" t="s">
        <v>16</v>
      </c>
      <c r="G384" s="35" t="s">
        <v>23</v>
      </c>
      <c r="H384" s="35" t="s">
        <v>18</v>
      </c>
      <c r="I384" s="37">
        <v>25</v>
      </c>
      <c r="J384" s="38">
        <v>175</v>
      </c>
      <c r="K384" s="35" t="s">
        <v>19</v>
      </c>
      <c r="L384" s="35" t="s">
        <v>20</v>
      </c>
      <c r="M384" s="38">
        <f t="shared" si="5"/>
        <v>4375</v>
      </c>
    </row>
    <row r="385" ht="15.75" spans="1:13">
      <c r="A385" s="35" t="s">
        <v>426</v>
      </c>
      <c r="B385" s="36">
        <v>46240</v>
      </c>
      <c r="C385" s="35" t="s">
        <v>26</v>
      </c>
      <c r="D385" s="35" t="s">
        <v>39</v>
      </c>
      <c r="E385" s="35" t="s">
        <v>15</v>
      </c>
      <c r="F385" s="35" t="s">
        <v>40</v>
      </c>
      <c r="G385" s="35" t="s">
        <v>35</v>
      </c>
      <c r="H385" s="35" t="s">
        <v>30</v>
      </c>
      <c r="I385" s="37">
        <v>6</v>
      </c>
      <c r="J385" s="38">
        <v>210</v>
      </c>
      <c r="K385" s="35" t="s">
        <v>19</v>
      </c>
      <c r="L385" s="35" t="s">
        <v>24</v>
      </c>
      <c r="M385" s="38">
        <f t="shared" si="5"/>
        <v>1260</v>
      </c>
    </row>
    <row r="386" ht="15.75" spans="1:13">
      <c r="A386" s="35" t="s">
        <v>427</v>
      </c>
      <c r="B386" s="36">
        <v>46242</v>
      </c>
      <c r="C386" s="35" t="s">
        <v>22</v>
      </c>
      <c r="D386" s="35" t="s">
        <v>39</v>
      </c>
      <c r="E386" s="35" t="s">
        <v>15</v>
      </c>
      <c r="F386" s="35" t="s">
        <v>40</v>
      </c>
      <c r="G386" s="35" t="s">
        <v>49</v>
      </c>
      <c r="H386" s="35" t="s">
        <v>18</v>
      </c>
      <c r="I386" s="37">
        <v>14</v>
      </c>
      <c r="J386" s="38">
        <v>145</v>
      </c>
      <c r="K386" s="35" t="s">
        <v>19</v>
      </c>
      <c r="L386" s="35" t="s">
        <v>24</v>
      </c>
      <c r="M386" s="38">
        <f t="shared" si="5"/>
        <v>2030</v>
      </c>
    </row>
    <row r="387" ht="15.75" spans="1:13">
      <c r="A387" s="35" t="s">
        <v>428</v>
      </c>
      <c r="B387" s="36">
        <v>46256</v>
      </c>
      <c r="C387" s="35" t="s">
        <v>13</v>
      </c>
      <c r="D387" s="35" t="s">
        <v>42</v>
      </c>
      <c r="E387" s="35" t="s">
        <v>15</v>
      </c>
      <c r="F387" s="35" t="s">
        <v>40</v>
      </c>
      <c r="G387" s="35" t="s">
        <v>45</v>
      </c>
      <c r="H387" s="35" t="s">
        <v>18</v>
      </c>
      <c r="I387" s="37">
        <v>17</v>
      </c>
      <c r="J387" s="38">
        <v>185</v>
      </c>
      <c r="K387" s="35" t="s">
        <v>19</v>
      </c>
      <c r="L387" s="35" t="s">
        <v>24</v>
      </c>
      <c r="M387" s="38">
        <f t="shared" ref="M387:M450" si="6">I387*J387</f>
        <v>3145</v>
      </c>
    </row>
    <row r="388" ht="15.75" spans="1:13">
      <c r="A388" s="35" t="s">
        <v>429</v>
      </c>
      <c r="B388" s="36">
        <v>46252</v>
      </c>
      <c r="C388" s="35" t="s">
        <v>26</v>
      </c>
      <c r="D388" s="35" t="s">
        <v>39</v>
      </c>
      <c r="E388" s="35" t="s">
        <v>15</v>
      </c>
      <c r="F388" s="35" t="s">
        <v>40</v>
      </c>
      <c r="G388" s="35" t="s">
        <v>49</v>
      </c>
      <c r="H388" s="35" t="s">
        <v>18</v>
      </c>
      <c r="I388" s="37">
        <v>2</v>
      </c>
      <c r="J388" s="38">
        <v>145</v>
      </c>
      <c r="K388" s="35" t="s">
        <v>19</v>
      </c>
      <c r="L388" s="35" t="s">
        <v>24</v>
      </c>
      <c r="M388" s="38">
        <f t="shared" si="6"/>
        <v>290</v>
      </c>
    </row>
    <row r="389" ht="15.75" spans="1:13">
      <c r="A389" s="35" t="s">
        <v>430</v>
      </c>
      <c r="B389" s="36">
        <v>46222</v>
      </c>
      <c r="C389" s="35" t="s">
        <v>26</v>
      </c>
      <c r="D389" s="35" t="s">
        <v>27</v>
      </c>
      <c r="E389" s="35" t="s">
        <v>15</v>
      </c>
      <c r="F389" s="35" t="s">
        <v>28</v>
      </c>
      <c r="G389" s="35" t="s">
        <v>35</v>
      </c>
      <c r="H389" s="35" t="s">
        <v>30</v>
      </c>
      <c r="I389" s="37">
        <v>33</v>
      </c>
      <c r="J389" s="38">
        <v>210</v>
      </c>
      <c r="K389" s="35" t="s">
        <v>19</v>
      </c>
      <c r="L389" s="35" t="s">
        <v>58</v>
      </c>
      <c r="M389" s="38">
        <f t="shared" si="6"/>
        <v>6930</v>
      </c>
    </row>
    <row r="390" ht="15.75" spans="1:13">
      <c r="A390" s="35" t="s">
        <v>431</v>
      </c>
      <c r="B390" s="36">
        <v>46214</v>
      </c>
      <c r="C390" s="35" t="s">
        <v>13</v>
      </c>
      <c r="D390" s="35" t="s">
        <v>37</v>
      </c>
      <c r="E390" s="35" t="s">
        <v>33</v>
      </c>
      <c r="F390" s="35" t="s">
        <v>16</v>
      </c>
      <c r="G390" s="35" t="s">
        <v>35</v>
      </c>
      <c r="H390" s="35" t="s">
        <v>30</v>
      </c>
      <c r="I390" s="37">
        <v>25</v>
      </c>
      <c r="J390" s="38">
        <v>210</v>
      </c>
      <c r="K390" s="35" t="s">
        <v>19</v>
      </c>
      <c r="L390" s="35" t="s">
        <v>24</v>
      </c>
      <c r="M390" s="38">
        <f t="shared" si="6"/>
        <v>5250</v>
      </c>
    </row>
    <row r="391" ht="15.75" spans="1:13">
      <c r="A391" s="35" t="s">
        <v>432</v>
      </c>
      <c r="B391" s="36">
        <v>46220</v>
      </c>
      <c r="C391" s="35" t="s">
        <v>22</v>
      </c>
      <c r="D391" s="35" t="s">
        <v>47</v>
      </c>
      <c r="E391" s="35" t="s">
        <v>48</v>
      </c>
      <c r="F391" s="35" t="s">
        <v>16</v>
      </c>
      <c r="G391" s="35" t="s">
        <v>17</v>
      </c>
      <c r="H391" s="35" t="s">
        <v>18</v>
      </c>
      <c r="I391" s="37">
        <v>5</v>
      </c>
      <c r="J391" s="38">
        <v>260</v>
      </c>
      <c r="K391" s="35" t="s">
        <v>19</v>
      </c>
      <c r="L391" s="35" t="s">
        <v>20</v>
      </c>
      <c r="M391" s="38">
        <f t="shared" si="6"/>
        <v>1300</v>
      </c>
    </row>
    <row r="392" ht="15.75" spans="1:13">
      <c r="A392" s="35" t="s">
        <v>433</v>
      </c>
      <c r="B392" s="36">
        <v>46238</v>
      </c>
      <c r="C392" s="35" t="s">
        <v>22</v>
      </c>
      <c r="D392" s="35" t="s">
        <v>47</v>
      </c>
      <c r="E392" s="35" t="s">
        <v>48</v>
      </c>
      <c r="F392" s="35" t="s">
        <v>16</v>
      </c>
      <c r="G392" s="35" t="s">
        <v>29</v>
      </c>
      <c r="H392" s="35" t="s">
        <v>30</v>
      </c>
      <c r="I392" s="37">
        <v>22</v>
      </c>
      <c r="J392" s="38">
        <v>26</v>
      </c>
      <c r="K392" s="35" t="s">
        <v>19</v>
      </c>
      <c r="L392" s="35" t="s">
        <v>24</v>
      </c>
      <c r="M392" s="38">
        <f t="shared" si="6"/>
        <v>572</v>
      </c>
    </row>
    <row r="393" ht="15.75" spans="1:13">
      <c r="A393" s="35" t="s">
        <v>434</v>
      </c>
      <c r="B393" s="36">
        <v>46261</v>
      </c>
      <c r="C393" s="35" t="s">
        <v>52</v>
      </c>
      <c r="D393" s="35" t="s">
        <v>53</v>
      </c>
      <c r="E393" s="35" t="s">
        <v>48</v>
      </c>
      <c r="F393" s="35" t="s">
        <v>28</v>
      </c>
      <c r="G393" s="35" t="s">
        <v>17</v>
      </c>
      <c r="H393" s="35" t="s">
        <v>18</v>
      </c>
      <c r="I393" s="37">
        <v>11</v>
      </c>
      <c r="J393" s="38">
        <v>260</v>
      </c>
      <c r="K393" s="35" t="s">
        <v>19</v>
      </c>
      <c r="L393" s="35" t="s">
        <v>24</v>
      </c>
      <c r="M393" s="38">
        <f t="shared" si="6"/>
        <v>2860</v>
      </c>
    </row>
    <row r="394" ht="15.75" spans="1:13">
      <c r="A394" s="35" t="s">
        <v>435</v>
      </c>
      <c r="B394" s="36">
        <v>46237</v>
      </c>
      <c r="C394" s="35" t="s">
        <v>13</v>
      </c>
      <c r="D394" s="35" t="s">
        <v>78</v>
      </c>
      <c r="E394" s="35" t="s">
        <v>48</v>
      </c>
      <c r="F394" s="35" t="s">
        <v>28</v>
      </c>
      <c r="G394" s="35" t="s">
        <v>45</v>
      </c>
      <c r="H394" s="35" t="s">
        <v>18</v>
      </c>
      <c r="I394" s="37">
        <v>30</v>
      </c>
      <c r="J394" s="38">
        <v>185</v>
      </c>
      <c r="K394" s="35" t="s">
        <v>19</v>
      </c>
      <c r="L394" s="35" t="s">
        <v>20</v>
      </c>
      <c r="M394" s="38">
        <f t="shared" si="6"/>
        <v>5550</v>
      </c>
    </row>
    <row r="395" ht="15.75" spans="1:13">
      <c r="A395" s="35" t="s">
        <v>436</v>
      </c>
      <c r="B395" s="36">
        <v>46245</v>
      </c>
      <c r="C395" s="35" t="s">
        <v>22</v>
      </c>
      <c r="D395" s="35" t="s">
        <v>57</v>
      </c>
      <c r="E395" s="35" t="s">
        <v>15</v>
      </c>
      <c r="F395" s="35" t="s">
        <v>40</v>
      </c>
      <c r="G395" s="35" t="s">
        <v>29</v>
      </c>
      <c r="H395" s="35" t="s">
        <v>30</v>
      </c>
      <c r="I395" s="37">
        <v>4</v>
      </c>
      <c r="J395" s="38">
        <v>26</v>
      </c>
      <c r="K395" s="35" t="s">
        <v>19</v>
      </c>
      <c r="L395" s="35" t="s">
        <v>24</v>
      </c>
      <c r="M395" s="38">
        <f t="shared" si="6"/>
        <v>104</v>
      </c>
    </row>
    <row r="396" ht="15.75" spans="1:13">
      <c r="A396" s="35" t="s">
        <v>437</v>
      </c>
      <c r="B396" s="36">
        <v>46237</v>
      </c>
      <c r="C396" s="35" t="s">
        <v>22</v>
      </c>
      <c r="D396" s="35" t="s">
        <v>78</v>
      </c>
      <c r="E396" s="35" t="s">
        <v>48</v>
      </c>
      <c r="F396" s="35" t="s">
        <v>28</v>
      </c>
      <c r="G396" s="35" t="s">
        <v>35</v>
      </c>
      <c r="H396" s="35" t="s">
        <v>30</v>
      </c>
      <c r="I396" s="37">
        <v>55</v>
      </c>
      <c r="J396" s="38">
        <v>210</v>
      </c>
      <c r="K396" s="35" t="s">
        <v>19</v>
      </c>
      <c r="L396" s="35" t="s">
        <v>24</v>
      </c>
      <c r="M396" s="38">
        <f t="shared" si="6"/>
        <v>11550</v>
      </c>
    </row>
    <row r="397" ht="15.75" spans="1:13">
      <c r="A397" s="35" t="s">
        <v>438</v>
      </c>
      <c r="B397" s="36">
        <v>46217</v>
      </c>
      <c r="C397" s="35" t="s">
        <v>22</v>
      </c>
      <c r="D397" s="35" t="s">
        <v>42</v>
      </c>
      <c r="E397" s="35" t="s">
        <v>15</v>
      </c>
      <c r="F397" s="35" t="s">
        <v>40</v>
      </c>
      <c r="G397" s="35" t="s">
        <v>23</v>
      </c>
      <c r="H397" s="35" t="s">
        <v>18</v>
      </c>
      <c r="I397" s="37">
        <v>17</v>
      </c>
      <c r="J397" s="38">
        <v>175</v>
      </c>
      <c r="K397" s="35" t="s">
        <v>19</v>
      </c>
      <c r="L397" s="35" t="s">
        <v>24</v>
      </c>
      <c r="M397" s="38">
        <f t="shared" si="6"/>
        <v>2975</v>
      </c>
    </row>
    <row r="398" ht="15.75" spans="1:13">
      <c r="A398" s="35" t="s">
        <v>439</v>
      </c>
      <c r="B398" s="36">
        <v>46251</v>
      </c>
      <c r="C398" s="35" t="s">
        <v>13</v>
      </c>
      <c r="D398" s="35" t="s">
        <v>27</v>
      </c>
      <c r="E398" s="35" t="s">
        <v>15</v>
      </c>
      <c r="F398" s="35" t="s">
        <v>28</v>
      </c>
      <c r="G398" s="35" t="s">
        <v>45</v>
      </c>
      <c r="H398" s="35" t="s">
        <v>18</v>
      </c>
      <c r="I398" s="37">
        <v>14</v>
      </c>
      <c r="J398" s="38">
        <v>185</v>
      </c>
      <c r="K398" s="35" t="s">
        <v>19</v>
      </c>
      <c r="L398" s="35" t="s">
        <v>24</v>
      </c>
      <c r="M398" s="38">
        <f t="shared" si="6"/>
        <v>2590</v>
      </c>
    </row>
    <row r="399" ht="15.75" spans="1:13">
      <c r="A399" s="35" t="s">
        <v>440</v>
      </c>
      <c r="B399" s="36">
        <v>46286</v>
      </c>
      <c r="C399" s="35" t="s">
        <v>52</v>
      </c>
      <c r="D399" s="35" t="s">
        <v>14</v>
      </c>
      <c r="E399" s="35" t="s">
        <v>15</v>
      </c>
      <c r="F399" s="35" t="s">
        <v>16</v>
      </c>
      <c r="G399" s="35" t="s">
        <v>17</v>
      </c>
      <c r="H399" s="35" t="s">
        <v>18</v>
      </c>
      <c r="I399" s="37">
        <v>6</v>
      </c>
      <c r="J399" s="38">
        <v>260</v>
      </c>
      <c r="K399" s="35" t="s">
        <v>20</v>
      </c>
      <c r="L399" s="35" t="s">
        <v>24</v>
      </c>
      <c r="M399" s="38">
        <f t="shared" si="6"/>
        <v>1560</v>
      </c>
    </row>
    <row r="400" ht="15.75" spans="1:13">
      <c r="A400" s="35" t="s">
        <v>441</v>
      </c>
      <c r="B400" s="36">
        <v>46210</v>
      </c>
      <c r="C400" s="35" t="s">
        <v>22</v>
      </c>
      <c r="D400" s="35" t="s">
        <v>78</v>
      </c>
      <c r="E400" s="35" t="s">
        <v>48</v>
      </c>
      <c r="F400" s="35" t="s">
        <v>28</v>
      </c>
      <c r="G400" s="35" t="s">
        <v>17</v>
      </c>
      <c r="H400" s="35" t="s">
        <v>18</v>
      </c>
      <c r="I400" s="37">
        <v>4</v>
      </c>
      <c r="J400" s="38">
        <v>260</v>
      </c>
      <c r="K400" s="35" t="s">
        <v>20</v>
      </c>
      <c r="L400" s="35" t="s">
        <v>24</v>
      </c>
      <c r="M400" s="38">
        <f t="shared" si="6"/>
        <v>1040</v>
      </c>
    </row>
    <row r="401" ht="15.75" spans="1:13">
      <c r="A401" s="35" t="s">
        <v>442</v>
      </c>
      <c r="B401" s="36">
        <v>46258</v>
      </c>
      <c r="C401" s="35" t="s">
        <v>22</v>
      </c>
      <c r="D401" s="35" t="s">
        <v>47</v>
      </c>
      <c r="E401" s="35" t="s">
        <v>48</v>
      </c>
      <c r="F401" s="35" t="s">
        <v>16</v>
      </c>
      <c r="G401" s="35" t="s">
        <v>35</v>
      </c>
      <c r="H401" s="35" t="s">
        <v>30</v>
      </c>
      <c r="I401" s="37">
        <v>3</v>
      </c>
      <c r="J401" s="38">
        <v>210</v>
      </c>
      <c r="K401" s="35" t="s">
        <v>19</v>
      </c>
      <c r="L401" s="35" t="s">
        <v>58</v>
      </c>
      <c r="M401" s="38">
        <f t="shared" si="6"/>
        <v>630</v>
      </c>
    </row>
    <row r="402" ht="15.75" spans="1:13">
      <c r="A402" s="35" t="s">
        <v>443</v>
      </c>
      <c r="B402" s="36">
        <v>46208</v>
      </c>
      <c r="C402" s="35" t="s">
        <v>22</v>
      </c>
      <c r="D402" s="35" t="s">
        <v>57</v>
      </c>
      <c r="E402" s="35" t="s">
        <v>15</v>
      </c>
      <c r="F402" s="35" t="s">
        <v>40</v>
      </c>
      <c r="G402" s="35" t="s">
        <v>49</v>
      </c>
      <c r="H402" s="35" t="s">
        <v>18</v>
      </c>
      <c r="I402" s="37">
        <v>30</v>
      </c>
      <c r="J402" s="38">
        <v>145</v>
      </c>
      <c r="K402" s="35" t="s">
        <v>19</v>
      </c>
      <c r="L402" s="35" t="s">
        <v>24</v>
      </c>
      <c r="M402" s="38">
        <f t="shared" si="6"/>
        <v>4350</v>
      </c>
    </row>
    <row r="403" ht="15.75" spans="1:13">
      <c r="A403" s="35" t="s">
        <v>444</v>
      </c>
      <c r="B403" s="36">
        <v>46253</v>
      </c>
      <c r="C403" s="35" t="s">
        <v>22</v>
      </c>
      <c r="D403" s="35" t="s">
        <v>37</v>
      </c>
      <c r="E403" s="35" t="s">
        <v>33</v>
      </c>
      <c r="F403" s="35" t="s">
        <v>16</v>
      </c>
      <c r="G403" s="35" t="s">
        <v>35</v>
      </c>
      <c r="H403" s="35" t="s">
        <v>30</v>
      </c>
      <c r="I403" s="37">
        <v>5</v>
      </c>
      <c r="J403" s="38">
        <v>210</v>
      </c>
      <c r="K403" s="35" t="s">
        <v>19</v>
      </c>
      <c r="L403" s="35" t="s">
        <v>24</v>
      </c>
      <c r="M403" s="38">
        <f t="shared" si="6"/>
        <v>1050</v>
      </c>
    </row>
    <row r="404" ht="15.75" spans="1:13">
      <c r="A404" s="35" t="s">
        <v>445</v>
      </c>
      <c r="B404" s="36">
        <v>46295</v>
      </c>
      <c r="C404" s="35" t="s">
        <v>26</v>
      </c>
      <c r="D404" s="35" t="s">
        <v>37</v>
      </c>
      <c r="E404" s="35" t="s">
        <v>33</v>
      </c>
      <c r="F404" s="35" t="s">
        <v>16</v>
      </c>
      <c r="G404" s="35" t="s">
        <v>45</v>
      </c>
      <c r="H404" s="35" t="s">
        <v>18</v>
      </c>
      <c r="I404" s="37">
        <v>3</v>
      </c>
      <c r="J404" s="38">
        <v>185</v>
      </c>
      <c r="K404" s="35" t="s">
        <v>19</v>
      </c>
      <c r="L404" s="35" t="s">
        <v>20</v>
      </c>
      <c r="M404" s="38">
        <f t="shared" si="6"/>
        <v>555</v>
      </c>
    </row>
    <row r="405" ht="15.75" spans="1:13">
      <c r="A405" s="35" t="s">
        <v>446</v>
      </c>
      <c r="B405" s="36">
        <v>46238</v>
      </c>
      <c r="C405" s="35" t="s">
        <v>22</v>
      </c>
      <c r="D405" s="35" t="s">
        <v>78</v>
      </c>
      <c r="E405" s="35" t="s">
        <v>48</v>
      </c>
      <c r="F405" s="35" t="s">
        <v>28</v>
      </c>
      <c r="G405" s="35" t="s">
        <v>23</v>
      </c>
      <c r="H405" s="35" t="s">
        <v>18</v>
      </c>
      <c r="I405" s="37">
        <v>34</v>
      </c>
      <c r="J405" s="38">
        <v>175</v>
      </c>
      <c r="K405" s="35" t="s">
        <v>19</v>
      </c>
      <c r="L405" s="35" t="s">
        <v>24</v>
      </c>
      <c r="M405" s="38">
        <f t="shared" si="6"/>
        <v>5950</v>
      </c>
    </row>
    <row r="406" ht="15.75" spans="1:13">
      <c r="A406" s="35" t="s">
        <v>447</v>
      </c>
      <c r="B406" s="36">
        <v>46264</v>
      </c>
      <c r="C406" s="35" t="s">
        <v>26</v>
      </c>
      <c r="D406" s="35" t="s">
        <v>39</v>
      </c>
      <c r="E406" s="35" t="s">
        <v>15</v>
      </c>
      <c r="F406" s="35" t="s">
        <v>40</v>
      </c>
      <c r="G406" s="35" t="s">
        <v>49</v>
      </c>
      <c r="H406" s="35" t="s">
        <v>18</v>
      </c>
      <c r="I406" s="37">
        <v>5</v>
      </c>
      <c r="J406" s="38">
        <v>145</v>
      </c>
      <c r="K406" s="35" t="s">
        <v>20</v>
      </c>
      <c r="L406" s="35" t="s">
        <v>58</v>
      </c>
      <c r="M406" s="38">
        <f t="shared" si="6"/>
        <v>725</v>
      </c>
    </row>
    <row r="407" ht="15.75" spans="1:13">
      <c r="A407" s="35" t="s">
        <v>448</v>
      </c>
      <c r="B407" s="36">
        <v>46238</v>
      </c>
      <c r="C407" s="35" t="s">
        <v>13</v>
      </c>
      <c r="D407" s="35" t="s">
        <v>32</v>
      </c>
      <c r="E407" s="35" t="s">
        <v>33</v>
      </c>
      <c r="F407" s="35" t="s">
        <v>16</v>
      </c>
      <c r="G407" s="35" t="s">
        <v>17</v>
      </c>
      <c r="H407" s="35" t="s">
        <v>18</v>
      </c>
      <c r="I407" s="37">
        <v>17</v>
      </c>
      <c r="J407" s="38">
        <v>260</v>
      </c>
      <c r="K407" s="35" t="s">
        <v>20</v>
      </c>
      <c r="L407" s="35" t="s">
        <v>58</v>
      </c>
      <c r="M407" s="38">
        <f t="shared" si="6"/>
        <v>4420</v>
      </c>
    </row>
    <row r="408" ht="15.75" spans="1:13">
      <c r="A408" s="35" t="s">
        <v>449</v>
      </c>
      <c r="B408" s="36">
        <v>46226</v>
      </c>
      <c r="C408" s="35" t="s">
        <v>22</v>
      </c>
      <c r="D408" s="35" t="s">
        <v>53</v>
      </c>
      <c r="E408" s="35" t="s">
        <v>48</v>
      </c>
      <c r="F408" s="35" t="s">
        <v>28</v>
      </c>
      <c r="G408" s="35" t="s">
        <v>35</v>
      </c>
      <c r="H408" s="35" t="s">
        <v>30</v>
      </c>
      <c r="I408" s="37">
        <v>24</v>
      </c>
      <c r="J408" s="38">
        <v>210</v>
      </c>
      <c r="K408" s="35" t="s">
        <v>19</v>
      </c>
      <c r="L408" s="35" t="s">
        <v>24</v>
      </c>
      <c r="M408" s="38">
        <f t="shared" si="6"/>
        <v>5040</v>
      </c>
    </row>
    <row r="409" ht="15.75" spans="1:13">
      <c r="A409" s="35" t="s">
        <v>450</v>
      </c>
      <c r="B409" s="36">
        <v>46249</v>
      </c>
      <c r="C409" s="35" t="s">
        <v>22</v>
      </c>
      <c r="D409" s="35" t="s">
        <v>78</v>
      </c>
      <c r="E409" s="35" t="s">
        <v>48</v>
      </c>
      <c r="F409" s="35" t="s">
        <v>28</v>
      </c>
      <c r="G409" s="35" t="s">
        <v>23</v>
      </c>
      <c r="H409" s="35" t="s">
        <v>18</v>
      </c>
      <c r="I409" s="37">
        <v>3</v>
      </c>
      <c r="J409" s="38">
        <v>175</v>
      </c>
      <c r="K409" s="35" t="s">
        <v>19</v>
      </c>
      <c r="L409" s="35" t="s">
        <v>24</v>
      </c>
      <c r="M409" s="38">
        <f t="shared" si="6"/>
        <v>525</v>
      </c>
    </row>
    <row r="410" ht="15.75" spans="1:13">
      <c r="A410" s="35" t="s">
        <v>451</v>
      </c>
      <c r="B410" s="36">
        <v>46208</v>
      </c>
      <c r="C410" s="35" t="s">
        <v>13</v>
      </c>
      <c r="D410" s="35" t="s">
        <v>42</v>
      </c>
      <c r="E410" s="35" t="s">
        <v>15</v>
      </c>
      <c r="F410" s="35" t="s">
        <v>40</v>
      </c>
      <c r="G410" s="35" t="s">
        <v>23</v>
      </c>
      <c r="H410" s="35" t="s">
        <v>18</v>
      </c>
      <c r="I410" s="37">
        <v>21</v>
      </c>
      <c r="J410" s="38">
        <v>175</v>
      </c>
      <c r="K410" s="35" t="s">
        <v>19</v>
      </c>
      <c r="L410" s="35" t="s">
        <v>24</v>
      </c>
      <c r="M410" s="38">
        <f t="shared" si="6"/>
        <v>3675</v>
      </c>
    </row>
    <row r="411" ht="15.75" spans="1:13">
      <c r="A411" s="35" t="s">
        <v>452</v>
      </c>
      <c r="B411" s="36">
        <v>46229</v>
      </c>
      <c r="C411" s="35" t="s">
        <v>22</v>
      </c>
      <c r="D411" s="35" t="s">
        <v>39</v>
      </c>
      <c r="E411" s="35" t="s">
        <v>15</v>
      </c>
      <c r="F411" s="35" t="s">
        <v>40</v>
      </c>
      <c r="G411" s="35" t="s">
        <v>23</v>
      </c>
      <c r="H411" s="35" t="s">
        <v>18</v>
      </c>
      <c r="I411" s="37">
        <v>75</v>
      </c>
      <c r="J411" s="38">
        <v>175</v>
      </c>
      <c r="K411" s="35" t="s">
        <v>19</v>
      </c>
      <c r="L411" s="35" t="s">
        <v>24</v>
      </c>
      <c r="M411" s="38">
        <f t="shared" si="6"/>
        <v>13125</v>
      </c>
    </row>
    <row r="412" ht="15.75" spans="1:13">
      <c r="A412" s="35" t="s">
        <v>453</v>
      </c>
      <c r="B412" s="36">
        <v>46294</v>
      </c>
      <c r="C412" s="35" t="s">
        <v>22</v>
      </c>
      <c r="D412" s="35" t="s">
        <v>78</v>
      </c>
      <c r="E412" s="35" t="s">
        <v>48</v>
      </c>
      <c r="F412" s="35" t="s">
        <v>28</v>
      </c>
      <c r="G412" s="35" t="s">
        <v>17</v>
      </c>
      <c r="H412" s="35" t="s">
        <v>18</v>
      </c>
      <c r="I412" s="37">
        <v>3</v>
      </c>
      <c r="J412" s="38">
        <v>260</v>
      </c>
      <c r="K412" s="35" t="s">
        <v>20</v>
      </c>
      <c r="L412" s="35" t="s">
        <v>20</v>
      </c>
      <c r="M412" s="38">
        <f t="shared" si="6"/>
        <v>780</v>
      </c>
    </row>
    <row r="413" ht="15.75" spans="1:13">
      <c r="A413" s="35" t="s">
        <v>454</v>
      </c>
      <c r="B413" s="36">
        <v>46288</v>
      </c>
      <c r="C413" s="35" t="s">
        <v>52</v>
      </c>
      <c r="D413" s="35" t="s">
        <v>78</v>
      </c>
      <c r="E413" s="35" t="s">
        <v>48</v>
      </c>
      <c r="F413" s="35" t="s">
        <v>28</v>
      </c>
      <c r="G413" s="35" t="s">
        <v>17</v>
      </c>
      <c r="H413" s="35" t="s">
        <v>18</v>
      </c>
      <c r="I413" s="37">
        <v>25</v>
      </c>
      <c r="J413" s="38">
        <v>260</v>
      </c>
      <c r="K413" s="35" t="s">
        <v>19</v>
      </c>
      <c r="L413" s="35" t="s">
        <v>24</v>
      </c>
      <c r="M413" s="38">
        <f t="shared" si="6"/>
        <v>6500</v>
      </c>
    </row>
    <row r="414" ht="15.75" spans="1:13">
      <c r="A414" s="35" t="s">
        <v>455</v>
      </c>
      <c r="B414" s="36">
        <v>46259</v>
      </c>
      <c r="C414" s="35" t="s">
        <v>52</v>
      </c>
      <c r="D414" s="35" t="s">
        <v>78</v>
      </c>
      <c r="E414" s="35" t="s">
        <v>48</v>
      </c>
      <c r="F414" s="35" t="s">
        <v>28</v>
      </c>
      <c r="G414" s="35" t="s">
        <v>45</v>
      </c>
      <c r="H414" s="35" t="s">
        <v>18</v>
      </c>
      <c r="I414" s="37">
        <v>12</v>
      </c>
      <c r="J414" s="38">
        <v>185</v>
      </c>
      <c r="K414" s="35" t="s">
        <v>19</v>
      </c>
      <c r="L414" s="35" t="s">
        <v>24</v>
      </c>
      <c r="M414" s="38">
        <f t="shared" si="6"/>
        <v>2220</v>
      </c>
    </row>
    <row r="415" ht="15.75" spans="1:13">
      <c r="A415" s="35" t="s">
        <v>456</v>
      </c>
      <c r="B415" s="36">
        <v>46279</v>
      </c>
      <c r="C415" s="35" t="s">
        <v>22</v>
      </c>
      <c r="D415" s="35" t="s">
        <v>37</v>
      </c>
      <c r="E415" s="35" t="s">
        <v>33</v>
      </c>
      <c r="F415" s="35" t="s">
        <v>16</v>
      </c>
      <c r="G415" s="35" t="s">
        <v>29</v>
      </c>
      <c r="H415" s="35" t="s">
        <v>30</v>
      </c>
      <c r="I415" s="37">
        <v>24</v>
      </c>
      <c r="J415" s="38">
        <v>26</v>
      </c>
      <c r="K415" s="35" t="s">
        <v>19</v>
      </c>
      <c r="L415" s="35" t="s">
        <v>20</v>
      </c>
      <c r="M415" s="38">
        <f t="shared" si="6"/>
        <v>624</v>
      </c>
    </row>
    <row r="416" ht="15.75" spans="1:13">
      <c r="A416" s="35" t="s">
        <v>457</v>
      </c>
      <c r="B416" s="36">
        <v>46293</v>
      </c>
      <c r="C416" s="35" t="s">
        <v>52</v>
      </c>
      <c r="D416" s="35" t="s">
        <v>57</v>
      </c>
      <c r="E416" s="35" t="s">
        <v>15</v>
      </c>
      <c r="F416" s="35" t="s">
        <v>40</v>
      </c>
      <c r="G416" s="35" t="s">
        <v>45</v>
      </c>
      <c r="H416" s="35" t="s">
        <v>18</v>
      </c>
      <c r="I416" s="37">
        <v>13</v>
      </c>
      <c r="J416" s="38">
        <v>185</v>
      </c>
      <c r="K416" s="35" t="s">
        <v>20</v>
      </c>
      <c r="L416" s="35" t="s">
        <v>20</v>
      </c>
      <c r="M416" s="38">
        <f t="shared" si="6"/>
        <v>2405</v>
      </c>
    </row>
    <row r="417" ht="15.75" spans="1:13">
      <c r="A417" s="35" t="s">
        <v>458</v>
      </c>
      <c r="B417" s="36">
        <v>46282</v>
      </c>
      <c r="C417" s="35" t="s">
        <v>22</v>
      </c>
      <c r="D417" s="35" t="s">
        <v>53</v>
      </c>
      <c r="E417" s="35" t="s">
        <v>48</v>
      </c>
      <c r="F417" s="35" t="s">
        <v>28</v>
      </c>
      <c r="G417" s="35" t="s">
        <v>17</v>
      </c>
      <c r="H417" s="35" t="s">
        <v>18</v>
      </c>
      <c r="I417" s="37">
        <v>13</v>
      </c>
      <c r="J417" s="38">
        <v>260</v>
      </c>
      <c r="K417" s="35" t="s">
        <v>19</v>
      </c>
      <c r="L417" s="35" t="s">
        <v>24</v>
      </c>
      <c r="M417" s="38">
        <f t="shared" si="6"/>
        <v>3380</v>
      </c>
    </row>
    <row r="418" ht="15.75" spans="1:13">
      <c r="A418" s="35" t="s">
        <v>459</v>
      </c>
      <c r="B418" s="36">
        <v>46234</v>
      </c>
      <c r="C418" s="35" t="s">
        <v>26</v>
      </c>
      <c r="D418" s="35" t="s">
        <v>42</v>
      </c>
      <c r="E418" s="35" t="s">
        <v>15</v>
      </c>
      <c r="F418" s="35" t="s">
        <v>40</v>
      </c>
      <c r="G418" s="35" t="s">
        <v>45</v>
      </c>
      <c r="H418" s="35" t="s">
        <v>18</v>
      </c>
      <c r="I418" s="37">
        <v>23</v>
      </c>
      <c r="J418" s="38">
        <v>185</v>
      </c>
      <c r="K418" s="35" t="s">
        <v>20</v>
      </c>
      <c r="L418" s="35" t="s">
        <v>24</v>
      </c>
      <c r="M418" s="38">
        <f t="shared" si="6"/>
        <v>4255</v>
      </c>
    </row>
    <row r="419" ht="15.75" spans="1:13">
      <c r="A419" s="35" t="s">
        <v>460</v>
      </c>
      <c r="B419" s="36">
        <v>46237</v>
      </c>
      <c r="C419" s="35" t="s">
        <v>22</v>
      </c>
      <c r="D419" s="35" t="s">
        <v>14</v>
      </c>
      <c r="E419" s="35" t="s">
        <v>15</v>
      </c>
      <c r="F419" s="35" t="s">
        <v>16</v>
      </c>
      <c r="G419" s="35" t="s">
        <v>29</v>
      </c>
      <c r="H419" s="35" t="s">
        <v>30</v>
      </c>
      <c r="I419" s="37">
        <v>23</v>
      </c>
      <c r="J419" s="38">
        <v>26</v>
      </c>
      <c r="K419" s="35" t="s">
        <v>19</v>
      </c>
      <c r="L419" s="35" t="s">
        <v>24</v>
      </c>
      <c r="M419" s="38">
        <f t="shared" si="6"/>
        <v>598</v>
      </c>
    </row>
    <row r="420" ht="15.75" spans="1:13">
      <c r="A420" s="35" t="s">
        <v>461</v>
      </c>
      <c r="B420" s="36">
        <v>46257</v>
      </c>
      <c r="C420" s="35" t="s">
        <v>22</v>
      </c>
      <c r="D420" s="35" t="s">
        <v>57</v>
      </c>
      <c r="E420" s="35" t="s">
        <v>15</v>
      </c>
      <c r="F420" s="35" t="s">
        <v>40</v>
      </c>
      <c r="G420" s="35" t="s">
        <v>17</v>
      </c>
      <c r="H420" s="35" t="s">
        <v>18</v>
      </c>
      <c r="I420" s="37">
        <v>64</v>
      </c>
      <c r="J420" s="38">
        <v>260</v>
      </c>
      <c r="K420" s="35" t="s">
        <v>20</v>
      </c>
      <c r="L420" s="35" t="s">
        <v>24</v>
      </c>
      <c r="M420" s="38">
        <f t="shared" si="6"/>
        <v>16640</v>
      </c>
    </row>
    <row r="421" ht="15.75" spans="1:13">
      <c r="A421" s="35" t="s">
        <v>462</v>
      </c>
      <c r="B421" s="36">
        <v>46265</v>
      </c>
      <c r="C421" s="35" t="s">
        <v>22</v>
      </c>
      <c r="D421" s="35" t="s">
        <v>47</v>
      </c>
      <c r="E421" s="35" t="s">
        <v>48</v>
      </c>
      <c r="F421" s="35" t="s">
        <v>16</v>
      </c>
      <c r="G421" s="35" t="s">
        <v>49</v>
      </c>
      <c r="H421" s="35" t="s">
        <v>18</v>
      </c>
      <c r="I421" s="37">
        <v>26</v>
      </c>
      <c r="J421" s="38">
        <v>145</v>
      </c>
      <c r="K421" s="35" t="s">
        <v>19</v>
      </c>
      <c r="L421" s="35" t="s">
        <v>24</v>
      </c>
      <c r="M421" s="38">
        <f t="shared" si="6"/>
        <v>3770</v>
      </c>
    </row>
    <row r="422" ht="15.75" spans="1:13">
      <c r="A422" s="35" t="s">
        <v>463</v>
      </c>
      <c r="B422" s="36">
        <v>46217</v>
      </c>
      <c r="C422" s="35" t="s">
        <v>13</v>
      </c>
      <c r="D422" s="35" t="s">
        <v>39</v>
      </c>
      <c r="E422" s="35" t="s">
        <v>15</v>
      </c>
      <c r="F422" s="35" t="s">
        <v>40</v>
      </c>
      <c r="G422" s="35" t="s">
        <v>49</v>
      </c>
      <c r="H422" s="35" t="s">
        <v>18</v>
      </c>
      <c r="I422" s="37">
        <v>3</v>
      </c>
      <c r="J422" s="38">
        <v>145</v>
      </c>
      <c r="K422" s="35" t="s">
        <v>19</v>
      </c>
      <c r="L422" s="35" t="s">
        <v>20</v>
      </c>
      <c r="M422" s="38">
        <f t="shared" si="6"/>
        <v>435</v>
      </c>
    </row>
    <row r="423" ht="15.75" spans="1:13">
      <c r="A423" s="35" t="s">
        <v>464</v>
      </c>
      <c r="B423" s="36">
        <v>46215</v>
      </c>
      <c r="C423" s="35" t="s">
        <v>26</v>
      </c>
      <c r="D423" s="35" t="s">
        <v>32</v>
      </c>
      <c r="E423" s="35" t="s">
        <v>33</v>
      </c>
      <c r="F423" s="35" t="s">
        <v>16</v>
      </c>
      <c r="G423" s="35" t="s">
        <v>29</v>
      </c>
      <c r="H423" s="35" t="s">
        <v>30</v>
      </c>
      <c r="I423" s="37">
        <v>6</v>
      </c>
      <c r="J423" s="38">
        <v>26</v>
      </c>
      <c r="K423" s="35" t="s">
        <v>19</v>
      </c>
      <c r="L423" s="35" t="s">
        <v>24</v>
      </c>
      <c r="M423" s="38">
        <f t="shared" si="6"/>
        <v>156</v>
      </c>
    </row>
    <row r="424" ht="15.75" spans="1:13">
      <c r="A424" s="35" t="s">
        <v>465</v>
      </c>
      <c r="B424" s="36">
        <v>46287</v>
      </c>
      <c r="C424" s="35" t="s">
        <v>22</v>
      </c>
      <c r="D424" s="35" t="s">
        <v>42</v>
      </c>
      <c r="E424" s="35" t="s">
        <v>15</v>
      </c>
      <c r="F424" s="35" t="s">
        <v>40</v>
      </c>
      <c r="G424" s="35" t="s">
        <v>29</v>
      </c>
      <c r="H424" s="35" t="s">
        <v>30</v>
      </c>
      <c r="I424" s="37">
        <v>3</v>
      </c>
      <c r="J424" s="38">
        <v>26</v>
      </c>
      <c r="K424" s="35" t="s">
        <v>19</v>
      </c>
      <c r="L424" s="35" t="s">
        <v>24</v>
      </c>
      <c r="M424" s="38">
        <f t="shared" si="6"/>
        <v>78</v>
      </c>
    </row>
    <row r="425" ht="15.75" spans="1:13">
      <c r="A425" s="35" t="s">
        <v>466</v>
      </c>
      <c r="B425" s="36">
        <v>46228</v>
      </c>
      <c r="C425" s="35" t="s">
        <v>52</v>
      </c>
      <c r="D425" s="35" t="s">
        <v>39</v>
      </c>
      <c r="E425" s="35" t="s">
        <v>15</v>
      </c>
      <c r="F425" s="35" t="s">
        <v>40</v>
      </c>
      <c r="G425" s="35" t="s">
        <v>17</v>
      </c>
      <c r="H425" s="35" t="s">
        <v>18</v>
      </c>
      <c r="I425" s="37">
        <v>23</v>
      </c>
      <c r="J425" s="38">
        <v>260</v>
      </c>
      <c r="K425" s="35" t="s">
        <v>19</v>
      </c>
      <c r="L425" s="35" t="s">
        <v>20</v>
      </c>
      <c r="M425" s="38">
        <f t="shared" si="6"/>
        <v>5980</v>
      </c>
    </row>
    <row r="426" ht="15.75" spans="1:13">
      <c r="A426" s="35" t="s">
        <v>467</v>
      </c>
      <c r="B426" s="36">
        <v>46216</v>
      </c>
      <c r="C426" s="35" t="s">
        <v>13</v>
      </c>
      <c r="D426" s="35" t="s">
        <v>37</v>
      </c>
      <c r="E426" s="35" t="s">
        <v>33</v>
      </c>
      <c r="F426" s="35" t="s">
        <v>16</v>
      </c>
      <c r="G426" s="35" t="s">
        <v>49</v>
      </c>
      <c r="H426" s="35" t="s">
        <v>18</v>
      </c>
      <c r="I426" s="37">
        <v>20</v>
      </c>
      <c r="J426" s="38">
        <v>145</v>
      </c>
      <c r="K426" s="35" t="s">
        <v>19</v>
      </c>
      <c r="L426" s="35" t="s">
        <v>24</v>
      </c>
      <c r="M426" s="38">
        <f t="shared" si="6"/>
        <v>2900</v>
      </c>
    </row>
    <row r="427" ht="15.75" spans="1:13">
      <c r="A427" s="35" t="s">
        <v>468</v>
      </c>
      <c r="B427" s="36">
        <v>46258</v>
      </c>
      <c r="C427" s="35" t="s">
        <v>13</v>
      </c>
      <c r="D427" s="35" t="s">
        <v>42</v>
      </c>
      <c r="E427" s="35" t="s">
        <v>15</v>
      </c>
      <c r="F427" s="35" t="s">
        <v>40</v>
      </c>
      <c r="G427" s="35" t="s">
        <v>45</v>
      </c>
      <c r="H427" s="35" t="s">
        <v>18</v>
      </c>
      <c r="I427" s="37">
        <v>5</v>
      </c>
      <c r="J427" s="38">
        <v>185</v>
      </c>
      <c r="K427" s="35" t="s">
        <v>19</v>
      </c>
      <c r="L427" s="35" t="s">
        <v>24</v>
      </c>
      <c r="M427" s="38">
        <f t="shared" si="6"/>
        <v>925</v>
      </c>
    </row>
    <row r="428" ht="15.75" spans="1:13">
      <c r="A428" s="35" t="s">
        <v>469</v>
      </c>
      <c r="B428" s="36">
        <v>46230</v>
      </c>
      <c r="C428" s="35" t="s">
        <v>22</v>
      </c>
      <c r="D428" s="35" t="s">
        <v>53</v>
      </c>
      <c r="E428" s="35" t="s">
        <v>48</v>
      </c>
      <c r="F428" s="35" t="s">
        <v>28</v>
      </c>
      <c r="G428" s="35" t="s">
        <v>35</v>
      </c>
      <c r="H428" s="35" t="s">
        <v>30</v>
      </c>
      <c r="I428" s="37">
        <v>14</v>
      </c>
      <c r="J428" s="38">
        <v>210</v>
      </c>
      <c r="K428" s="35" t="s">
        <v>19</v>
      </c>
      <c r="L428" s="35" t="s">
        <v>58</v>
      </c>
      <c r="M428" s="38">
        <f t="shared" si="6"/>
        <v>2940</v>
      </c>
    </row>
    <row r="429" ht="15.75" spans="1:13">
      <c r="A429" s="35" t="s">
        <v>470</v>
      </c>
      <c r="B429" s="36">
        <v>46264</v>
      </c>
      <c r="C429" s="35" t="s">
        <v>52</v>
      </c>
      <c r="D429" s="35" t="s">
        <v>42</v>
      </c>
      <c r="E429" s="35" t="s">
        <v>15</v>
      </c>
      <c r="F429" s="35" t="s">
        <v>40</v>
      </c>
      <c r="G429" s="35" t="s">
        <v>17</v>
      </c>
      <c r="H429" s="35" t="s">
        <v>18</v>
      </c>
      <c r="I429" s="37">
        <v>21</v>
      </c>
      <c r="J429" s="38">
        <v>260</v>
      </c>
      <c r="K429" s="35" t="s">
        <v>20</v>
      </c>
      <c r="L429" s="35" t="s">
        <v>24</v>
      </c>
      <c r="M429" s="38">
        <f t="shared" si="6"/>
        <v>5460</v>
      </c>
    </row>
    <row r="430" ht="15.75" spans="1:13">
      <c r="A430" s="35" t="s">
        <v>471</v>
      </c>
      <c r="B430" s="36">
        <v>46252</v>
      </c>
      <c r="C430" s="35" t="s">
        <v>26</v>
      </c>
      <c r="D430" s="35" t="s">
        <v>37</v>
      </c>
      <c r="E430" s="35" t="s">
        <v>33</v>
      </c>
      <c r="F430" s="35" t="s">
        <v>16</v>
      </c>
      <c r="G430" s="35" t="s">
        <v>35</v>
      </c>
      <c r="H430" s="35" t="s">
        <v>30</v>
      </c>
      <c r="I430" s="37">
        <v>13</v>
      </c>
      <c r="J430" s="38">
        <v>210</v>
      </c>
      <c r="K430" s="35" t="s">
        <v>19</v>
      </c>
      <c r="L430" s="35" t="s">
        <v>24</v>
      </c>
      <c r="M430" s="38">
        <f t="shared" si="6"/>
        <v>2730</v>
      </c>
    </row>
    <row r="431" ht="15.75" spans="1:13">
      <c r="A431" s="35" t="s">
        <v>472</v>
      </c>
      <c r="B431" s="36">
        <v>46238</v>
      </c>
      <c r="C431" s="35" t="s">
        <v>13</v>
      </c>
      <c r="D431" s="35" t="s">
        <v>42</v>
      </c>
      <c r="E431" s="35" t="s">
        <v>15</v>
      </c>
      <c r="F431" s="35" t="s">
        <v>40</v>
      </c>
      <c r="G431" s="35" t="s">
        <v>35</v>
      </c>
      <c r="H431" s="35" t="s">
        <v>30</v>
      </c>
      <c r="I431" s="37">
        <v>18</v>
      </c>
      <c r="J431" s="38">
        <v>210</v>
      </c>
      <c r="K431" s="35" t="s">
        <v>19</v>
      </c>
      <c r="L431" s="35" t="s">
        <v>20</v>
      </c>
      <c r="M431" s="38">
        <f t="shared" si="6"/>
        <v>3780</v>
      </c>
    </row>
    <row r="432" ht="15.75" spans="1:13">
      <c r="A432" s="35" t="s">
        <v>473</v>
      </c>
      <c r="B432" s="36">
        <v>46256</v>
      </c>
      <c r="C432" s="35" t="s">
        <v>22</v>
      </c>
      <c r="D432" s="35" t="s">
        <v>14</v>
      </c>
      <c r="E432" s="35" t="s">
        <v>15</v>
      </c>
      <c r="F432" s="35" t="s">
        <v>16</v>
      </c>
      <c r="G432" s="35" t="s">
        <v>17</v>
      </c>
      <c r="H432" s="35" t="s">
        <v>18</v>
      </c>
      <c r="I432" s="37">
        <v>24</v>
      </c>
      <c r="J432" s="38">
        <v>260</v>
      </c>
      <c r="K432" s="35" t="s">
        <v>19</v>
      </c>
      <c r="L432" s="35" t="s">
        <v>20</v>
      </c>
      <c r="M432" s="38">
        <f t="shared" si="6"/>
        <v>6240</v>
      </c>
    </row>
    <row r="433" ht="15.75" spans="1:13">
      <c r="A433" s="35" t="s">
        <v>474</v>
      </c>
      <c r="B433" s="36">
        <v>46234</v>
      </c>
      <c r="C433" s="35" t="s">
        <v>52</v>
      </c>
      <c r="D433" s="35" t="s">
        <v>37</v>
      </c>
      <c r="E433" s="35" t="s">
        <v>33</v>
      </c>
      <c r="F433" s="35" t="s">
        <v>16</v>
      </c>
      <c r="G433" s="35" t="s">
        <v>35</v>
      </c>
      <c r="H433" s="35" t="s">
        <v>30</v>
      </c>
      <c r="I433" s="37">
        <v>32</v>
      </c>
      <c r="J433" s="38">
        <v>210</v>
      </c>
      <c r="K433" s="35" t="s">
        <v>19</v>
      </c>
      <c r="L433" s="35" t="s">
        <v>24</v>
      </c>
      <c r="M433" s="38">
        <f t="shared" si="6"/>
        <v>6720</v>
      </c>
    </row>
    <row r="434" ht="15.75" spans="1:13">
      <c r="A434" s="35" t="s">
        <v>475</v>
      </c>
      <c r="B434" s="36">
        <v>46290</v>
      </c>
      <c r="C434" s="35" t="s">
        <v>22</v>
      </c>
      <c r="D434" s="35" t="s">
        <v>39</v>
      </c>
      <c r="E434" s="35" t="s">
        <v>15</v>
      </c>
      <c r="F434" s="35" t="s">
        <v>40</v>
      </c>
      <c r="G434" s="35" t="s">
        <v>23</v>
      </c>
      <c r="H434" s="35" t="s">
        <v>18</v>
      </c>
      <c r="I434" s="37">
        <v>35</v>
      </c>
      <c r="J434" s="38">
        <v>175</v>
      </c>
      <c r="K434" s="35" t="s">
        <v>19</v>
      </c>
      <c r="L434" s="35" t="s">
        <v>20</v>
      </c>
      <c r="M434" s="38">
        <f t="shared" si="6"/>
        <v>6125</v>
      </c>
    </row>
    <row r="435" ht="15.75" spans="1:13">
      <c r="A435" s="35" t="s">
        <v>476</v>
      </c>
      <c r="B435" s="36">
        <v>46220</v>
      </c>
      <c r="C435" s="35" t="s">
        <v>13</v>
      </c>
      <c r="D435" s="35" t="s">
        <v>32</v>
      </c>
      <c r="E435" s="35" t="s">
        <v>33</v>
      </c>
      <c r="F435" s="35" t="s">
        <v>16</v>
      </c>
      <c r="G435" s="35" t="s">
        <v>45</v>
      </c>
      <c r="H435" s="35" t="s">
        <v>18</v>
      </c>
      <c r="I435" s="37">
        <v>15</v>
      </c>
      <c r="J435" s="38">
        <v>185</v>
      </c>
      <c r="K435" s="35" t="s">
        <v>19</v>
      </c>
      <c r="L435" s="35" t="s">
        <v>58</v>
      </c>
      <c r="M435" s="38">
        <f t="shared" si="6"/>
        <v>2775</v>
      </c>
    </row>
    <row r="436" ht="15.75" spans="1:13">
      <c r="A436" s="35" t="s">
        <v>477</v>
      </c>
      <c r="B436" s="36">
        <v>46237</v>
      </c>
      <c r="C436" s="35" t="s">
        <v>26</v>
      </c>
      <c r="D436" s="35" t="s">
        <v>47</v>
      </c>
      <c r="E436" s="35" t="s">
        <v>48</v>
      </c>
      <c r="F436" s="35" t="s">
        <v>16</v>
      </c>
      <c r="G436" s="35" t="s">
        <v>45</v>
      </c>
      <c r="H436" s="35" t="s">
        <v>18</v>
      </c>
      <c r="I436" s="37">
        <v>11</v>
      </c>
      <c r="J436" s="38">
        <v>185</v>
      </c>
      <c r="K436" s="35" t="s">
        <v>20</v>
      </c>
      <c r="L436" s="35" t="s">
        <v>58</v>
      </c>
      <c r="M436" s="38">
        <f t="shared" si="6"/>
        <v>2035</v>
      </c>
    </row>
    <row r="437" ht="15.75" spans="1:13">
      <c r="A437" s="35" t="s">
        <v>478</v>
      </c>
      <c r="B437" s="36">
        <v>46274</v>
      </c>
      <c r="C437" s="35" t="s">
        <v>26</v>
      </c>
      <c r="D437" s="35" t="s">
        <v>14</v>
      </c>
      <c r="E437" s="35" t="s">
        <v>15</v>
      </c>
      <c r="F437" s="35" t="s">
        <v>16</v>
      </c>
      <c r="G437" s="35" t="s">
        <v>17</v>
      </c>
      <c r="H437" s="35" t="s">
        <v>18</v>
      </c>
      <c r="I437" s="37">
        <v>26</v>
      </c>
      <c r="J437" s="38">
        <v>260</v>
      </c>
      <c r="K437" s="35" t="s">
        <v>20</v>
      </c>
      <c r="L437" s="35" t="s">
        <v>24</v>
      </c>
      <c r="M437" s="38">
        <f t="shared" si="6"/>
        <v>6760</v>
      </c>
    </row>
    <row r="438" ht="15.75" spans="1:13">
      <c r="A438" s="35" t="s">
        <v>479</v>
      </c>
      <c r="B438" s="36">
        <v>46218</v>
      </c>
      <c r="C438" s="35" t="s">
        <v>52</v>
      </c>
      <c r="D438" s="35" t="s">
        <v>39</v>
      </c>
      <c r="E438" s="35" t="s">
        <v>15</v>
      </c>
      <c r="F438" s="35" t="s">
        <v>40</v>
      </c>
      <c r="G438" s="35" t="s">
        <v>29</v>
      </c>
      <c r="H438" s="35" t="s">
        <v>30</v>
      </c>
      <c r="I438" s="37">
        <v>35</v>
      </c>
      <c r="J438" s="38">
        <v>26</v>
      </c>
      <c r="K438" s="35" t="s">
        <v>19</v>
      </c>
      <c r="L438" s="35" t="s">
        <v>24</v>
      </c>
      <c r="M438" s="38">
        <f t="shared" si="6"/>
        <v>910</v>
      </c>
    </row>
    <row r="439" ht="15.75" spans="1:13">
      <c r="A439" s="35" t="s">
        <v>480</v>
      </c>
      <c r="B439" s="36">
        <v>46216</v>
      </c>
      <c r="C439" s="35" t="s">
        <v>26</v>
      </c>
      <c r="D439" s="35" t="s">
        <v>53</v>
      </c>
      <c r="E439" s="35" t="s">
        <v>48</v>
      </c>
      <c r="F439" s="35" t="s">
        <v>28</v>
      </c>
      <c r="G439" s="35" t="s">
        <v>17</v>
      </c>
      <c r="H439" s="35" t="s">
        <v>18</v>
      </c>
      <c r="I439" s="37">
        <v>8</v>
      </c>
      <c r="J439" s="38">
        <v>260</v>
      </c>
      <c r="K439" s="35" t="s">
        <v>20</v>
      </c>
      <c r="L439" s="35" t="s">
        <v>20</v>
      </c>
      <c r="M439" s="38">
        <f t="shared" si="6"/>
        <v>2080</v>
      </c>
    </row>
    <row r="440" ht="15.75" spans="1:13">
      <c r="A440" s="35" t="s">
        <v>481</v>
      </c>
      <c r="B440" s="36">
        <v>46277</v>
      </c>
      <c r="C440" s="35" t="s">
        <v>52</v>
      </c>
      <c r="D440" s="35" t="s">
        <v>47</v>
      </c>
      <c r="E440" s="35" t="s">
        <v>48</v>
      </c>
      <c r="F440" s="35" t="s">
        <v>16</v>
      </c>
      <c r="G440" s="35" t="s">
        <v>49</v>
      </c>
      <c r="H440" s="35" t="s">
        <v>18</v>
      </c>
      <c r="I440" s="37">
        <v>26</v>
      </c>
      <c r="J440" s="38">
        <v>145</v>
      </c>
      <c r="K440" s="35" t="s">
        <v>19</v>
      </c>
      <c r="L440" s="35" t="s">
        <v>24</v>
      </c>
      <c r="M440" s="38">
        <f t="shared" si="6"/>
        <v>3770</v>
      </c>
    </row>
    <row r="441" ht="15.75" spans="1:13">
      <c r="A441" s="35" t="s">
        <v>482</v>
      </c>
      <c r="B441" s="36">
        <v>46292</v>
      </c>
      <c r="C441" s="35" t="s">
        <v>22</v>
      </c>
      <c r="D441" s="35" t="s">
        <v>32</v>
      </c>
      <c r="E441" s="35" t="s">
        <v>33</v>
      </c>
      <c r="F441" s="35" t="s">
        <v>16</v>
      </c>
      <c r="G441" s="35" t="s">
        <v>23</v>
      </c>
      <c r="H441" s="35" t="s">
        <v>18</v>
      </c>
      <c r="I441" s="37">
        <v>57</v>
      </c>
      <c r="J441" s="38">
        <v>175</v>
      </c>
      <c r="K441" s="35" t="s">
        <v>19</v>
      </c>
      <c r="L441" s="35" t="s">
        <v>24</v>
      </c>
      <c r="M441" s="38">
        <f t="shared" si="6"/>
        <v>9975</v>
      </c>
    </row>
    <row r="442" ht="15.75" spans="1:13">
      <c r="A442" s="35" t="s">
        <v>483</v>
      </c>
      <c r="B442" s="36">
        <v>46242</v>
      </c>
      <c r="C442" s="35" t="s">
        <v>26</v>
      </c>
      <c r="D442" s="35" t="s">
        <v>57</v>
      </c>
      <c r="E442" s="35" t="s">
        <v>15</v>
      </c>
      <c r="F442" s="35" t="s">
        <v>40</v>
      </c>
      <c r="G442" s="35" t="s">
        <v>49</v>
      </c>
      <c r="H442" s="35" t="s">
        <v>18</v>
      </c>
      <c r="I442" s="37">
        <v>3</v>
      </c>
      <c r="J442" s="38">
        <v>145</v>
      </c>
      <c r="K442" s="35" t="s">
        <v>19</v>
      </c>
      <c r="L442" s="35" t="s">
        <v>24</v>
      </c>
      <c r="M442" s="38">
        <f t="shared" si="6"/>
        <v>435</v>
      </c>
    </row>
    <row r="443" ht="15.75" spans="1:13">
      <c r="A443" s="35" t="s">
        <v>484</v>
      </c>
      <c r="B443" s="36">
        <v>46260</v>
      </c>
      <c r="C443" s="35" t="s">
        <v>26</v>
      </c>
      <c r="D443" s="35" t="s">
        <v>14</v>
      </c>
      <c r="E443" s="35" t="s">
        <v>15</v>
      </c>
      <c r="F443" s="35" t="s">
        <v>16</v>
      </c>
      <c r="G443" s="35" t="s">
        <v>45</v>
      </c>
      <c r="H443" s="35" t="s">
        <v>18</v>
      </c>
      <c r="I443" s="37">
        <v>10</v>
      </c>
      <c r="J443" s="38">
        <v>185</v>
      </c>
      <c r="K443" s="35" t="s">
        <v>19</v>
      </c>
      <c r="L443" s="35" t="s">
        <v>24</v>
      </c>
      <c r="M443" s="38">
        <f t="shared" si="6"/>
        <v>1850</v>
      </c>
    </row>
    <row r="444" ht="15.75" spans="1:13">
      <c r="A444" s="35" t="s">
        <v>485</v>
      </c>
      <c r="B444" s="36">
        <v>46256</v>
      </c>
      <c r="C444" s="35" t="s">
        <v>52</v>
      </c>
      <c r="D444" s="35" t="s">
        <v>14</v>
      </c>
      <c r="E444" s="35" t="s">
        <v>15</v>
      </c>
      <c r="F444" s="35" t="s">
        <v>16</v>
      </c>
      <c r="G444" s="35" t="s">
        <v>45</v>
      </c>
      <c r="H444" s="35" t="s">
        <v>18</v>
      </c>
      <c r="I444" s="37">
        <v>30</v>
      </c>
      <c r="J444" s="38">
        <v>185</v>
      </c>
      <c r="K444" s="35" t="s">
        <v>20</v>
      </c>
      <c r="L444" s="35" t="s">
        <v>20</v>
      </c>
      <c r="M444" s="38">
        <f t="shared" si="6"/>
        <v>5550</v>
      </c>
    </row>
    <row r="445" ht="15.75" spans="1:13">
      <c r="A445" s="35" t="s">
        <v>486</v>
      </c>
      <c r="B445" s="36">
        <v>46255</v>
      </c>
      <c r="C445" s="35" t="s">
        <v>22</v>
      </c>
      <c r="D445" s="35" t="s">
        <v>39</v>
      </c>
      <c r="E445" s="35" t="s">
        <v>15</v>
      </c>
      <c r="F445" s="35" t="s">
        <v>40</v>
      </c>
      <c r="G445" s="35" t="s">
        <v>23</v>
      </c>
      <c r="H445" s="35" t="s">
        <v>18</v>
      </c>
      <c r="I445" s="37">
        <v>68</v>
      </c>
      <c r="J445" s="38">
        <v>175</v>
      </c>
      <c r="K445" s="35" t="s">
        <v>20</v>
      </c>
      <c r="L445" s="35" t="s">
        <v>24</v>
      </c>
      <c r="M445" s="38">
        <f t="shared" si="6"/>
        <v>11900</v>
      </c>
    </row>
    <row r="446" ht="15.75" spans="1:13">
      <c r="A446" s="35" t="s">
        <v>487</v>
      </c>
      <c r="B446" s="36">
        <v>46229</v>
      </c>
      <c r="C446" s="35" t="s">
        <v>13</v>
      </c>
      <c r="D446" s="35" t="s">
        <v>53</v>
      </c>
      <c r="E446" s="35" t="s">
        <v>48</v>
      </c>
      <c r="F446" s="35" t="s">
        <v>28</v>
      </c>
      <c r="G446" s="35" t="s">
        <v>17</v>
      </c>
      <c r="H446" s="35" t="s">
        <v>18</v>
      </c>
      <c r="I446" s="37">
        <v>13</v>
      </c>
      <c r="J446" s="38">
        <v>260</v>
      </c>
      <c r="K446" s="35" t="s">
        <v>19</v>
      </c>
      <c r="L446" s="35" t="s">
        <v>24</v>
      </c>
      <c r="M446" s="38">
        <f t="shared" si="6"/>
        <v>3380</v>
      </c>
    </row>
    <row r="447" ht="15.75" spans="1:13">
      <c r="A447" s="35" t="s">
        <v>488</v>
      </c>
      <c r="B447" s="36">
        <v>46263</v>
      </c>
      <c r="C447" s="35" t="s">
        <v>52</v>
      </c>
      <c r="D447" s="35" t="s">
        <v>78</v>
      </c>
      <c r="E447" s="35" t="s">
        <v>48</v>
      </c>
      <c r="F447" s="35" t="s">
        <v>28</v>
      </c>
      <c r="G447" s="35" t="s">
        <v>29</v>
      </c>
      <c r="H447" s="35" t="s">
        <v>30</v>
      </c>
      <c r="I447" s="37">
        <v>14</v>
      </c>
      <c r="J447" s="38">
        <v>26</v>
      </c>
      <c r="K447" s="35" t="s">
        <v>19</v>
      </c>
      <c r="L447" s="35" t="s">
        <v>24</v>
      </c>
      <c r="M447" s="38">
        <f t="shared" si="6"/>
        <v>364</v>
      </c>
    </row>
    <row r="448" ht="15.75" spans="1:13">
      <c r="A448" s="35" t="s">
        <v>489</v>
      </c>
      <c r="B448" s="36">
        <v>46261</v>
      </c>
      <c r="C448" s="35" t="s">
        <v>22</v>
      </c>
      <c r="D448" s="35" t="s">
        <v>39</v>
      </c>
      <c r="E448" s="35" t="s">
        <v>15</v>
      </c>
      <c r="F448" s="35" t="s">
        <v>40</v>
      </c>
      <c r="G448" s="35" t="s">
        <v>45</v>
      </c>
      <c r="H448" s="35" t="s">
        <v>18</v>
      </c>
      <c r="I448" s="37">
        <v>25</v>
      </c>
      <c r="J448" s="38">
        <v>185</v>
      </c>
      <c r="K448" s="35" t="s">
        <v>20</v>
      </c>
      <c r="L448" s="35" t="s">
        <v>24</v>
      </c>
      <c r="M448" s="38">
        <f t="shared" si="6"/>
        <v>4625</v>
      </c>
    </row>
    <row r="449" ht="15.75" spans="1:13">
      <c r="A449" s="35" t="s">
        <v>490</v>
      </c>
      <c r="B449" s="36">
        <v>46237</v>
      </c>
      <c r="C449" s="35" t="s">
        <v>13</v>
      </c>
      <c r="D449" s="35" t="s">
        <v>37</v>
      </c>
      <c r="E449" s="35" t="s">
        <v>33</v>
      </c>
      <c r="F449" s="35" t="s">
        <v>16</v>
      </c>
      <c r="G449" s="35" t="s">
        <v>49</v>
      </c>
      <c r="H449" s="35" t="s">
        <v>18</v>
      </c>
      <c r="I449" s="37">
        <v>24</v>
      </c>
      <c r="J449" s="38">
        <v>145</v>
      </c>
      <c r="K449" s="35" t="s">
        <v>19</v>
      </c>
      <c r="L449" s="35" t="s">
        <v>24</v>
      </c>
      <c r="M449" s="38">
        <f t="shared" si="6"/>
        <v>3480</v>
      </c>
    </row>
    <row r="450" ht="15.75" spans="1:13">
      <c r="A450" s="35" t="s">
        <v>491</v>
      </c>
      <c r="B450" s="36">
        <v>46286</v>
      </c>
      <c r="C450" s="35" t="s">
        <v>22</v>
      </c>
      <c r="D450" s="35" t="s">
        <v>32</v>
      </c>
      <c r="E450" s="35" t="s">
        <v>33</v>
      </c>
      <c r="F450" s="35" t="s">
        <v>16</v>
      </c>
      <c r="G450" s="35" t="s">
        <v>23</v>
      </c>
      <c r="H450" s="35" t="s">
        <v>18</v>
      </c>
      <c r="I450" s="37">
        <v>15</v>
      </c>
      <c r="J450" s="38">
        <v>175</v>
      </c>
      <c r="K450" s="35" t="s">
        <v>19</v>
      </c>
      <c r="L450" s="35" t="s">
        <v>24</v>
      </c>
      <c r="M450" s="38">
        <f t="shared" si="6"/>
        <v>2625</v>
      </c>
    </row>
    <row r="451" ht="15.75" spans="1:13">
      <c r="A451" s="35" t="s">
        <v>492</v>
      </c>
      <c r="B451" s="36">
        <v>46291</v>
      </c>
      <c r="C451" s="35" t="s">
        <v>13</v>
      </c>
      <c r="D451" s="35" t="s">
        <v>47</v>
      </c>
      <c r="E451" s="35" t="s">
        <v>48</v>
      </c>
      <c r="F451" s="35" t="s">
        <v>16</v>
      </c>
      <c r="G451" s="35" t="s">
        <v>23</v>
      </c>
      <c r="H451" s="35" t="s">
        <v>18</v>
      </c>
      <c r="I451" s="37">
        <v>3</v>
      </c>
      <c r="J451" s="38">
        <v>175</v>
      </c>
      <c r="K451" s="35" t="s">
        <v>19</v>
      </c>
      <c r="L451" s="35" t="s">
        <v>24</v>
      </c>
      <c r="M451" s="38">
        <f t="shared" ref="M451:M502" si="7">I451*J451</f>
        <v>525</v>
      </c>
    </row>
    <row r="452" ht="15.75" spans="1:13">
      <c r="A452" s="35" t="s">
        <v>493</v>
      </c>
      <c r="B452" s="36">
        <v>46281</v>
      </c>
      <c r="C452" s="35" t="s">
        <v>26</v>
      </c>
      <c r="D452" s="35" t="s">
        <v>32</v>
      </c>
      <c r="E452" s="35" t="s">
        <v>33</v>
      </c>
      <c r="F452" s="35" t="s">
        <v>16</v>
      </c>
      <c r="G452" s="35" t="s">
        <v>23</v>
      </c>
      <c r="H452" s="35" t="s">
        <v>18</v>
      </c>
      <c r="I452" s="37">
        <v>2</v>
      </c>
      <c r="J452" s="38">
        <v>175</v>
      </c>
      <c r="K452" s="35" t="s">
        <v>19</v>
      </c>
      <c r="L452" s="35" t="s">
        <v>20</v>
      </c>
      <c r="M452" s="38">
        <f t="shared" si="7"/>
        <v>350</v>
      </c>
    </row>
    <row r="453" ht="15.75" spans="1:13">
      <c r="A453" s="35" t="s">
        <v>494</v>
      </c>
      <c r="B453" s="36">
        <v>46262</v>
      </c>
      <c r="C453" s="35" t="s">
        <v>26</v>
      </c>
      <c r="D453" s="35" t="s">
        <v>57</v>
      </c>
      <c r="E453" s="35" t="s">
        <v>15</v>
      </c>
      <c r="F453" s="35" t="s">
        <v>40</v>
      </c>
      <c r="G453" s="35" t="s">
        <v>35</v>
      </c>
      <c r="H453" s="35" t="s">
        <v>30</v>
      </c>
      <c r="I453" s="37">
        <v>26</v>
      </c>
      <c r="J453" s="38">
        <v>210</v>
      </c>
      <c r="K453" s="35" t="s">
        <v>19</v>
      </c>
      <c r="L453" s="35" t="s">
        <v>24</v>
      </c>
      <c r="M453" s="38">
        <f t="shared" si="7"/>
        <v>5460</v>
      </c>
    </row>
    <row r="454" ht="15.75" spans="1:13">
      <c r="A454" s="35" t="s">
        <v>495</v>
      </c>
      <c r="B454" s="36">
        <v>46204</v>
      </c>
      <c r="C454" s="35" t="s">
        <v>26</v>
      </c>
      <c r="D454" s="35" t="s">
        <v>37</v>
      </c>
      <c r="E454" s="35" t="s">
        <v>33</v>
      </c>
      <c r="F454" s="35" t="s">
        <v>16</v>
      </c>
      <c r="G454" s="35" t="s">
        <v>23</v>
      </c>
      <c r="H454" s="35" t="s">
        <v>18</v>
      </c>
      <c r="I454" s="37">
        <v>27</v>
      </c>
      <c r="J454" s="38">
        <v>175</v>
      </c>
      <c r="K454" s="35" t="s">
        <v>19</v>
      </c>
      <c r="L454" s="35" t="s">
        <v>24</v>
      </c>
      <c r="M454" s="38">
        <f t="shared" si="7"/>
        <v>4725</v>
      </c>
    </row>
    <row r="455" ht="15.75" spans="1:13">
      <c r="A455" s="35" t="s">
        <v>496</v>
      </c>
      <c r="B455" s="36">
        <v>46247</v>
      </c>
      <c r="C455" s="35" t="s">
        <v>26</v>
      </c>
      <c r="D455" s="35" t="s">
        <v>57</v>
      </c>
      <c r="E455" s="35" t="s">
        <v>15</v>
      </c>
      <c r="F455" s="35" t="s">
        <v>40</v>
      </c>
      <c r="G455" s="35" t="s">
        <v>49</v>
      </c>
      <c r="H455" s="35" t="s">
        <v>18</v>
      </c>
      <c r="I455" s="37">
        <v>8</v>
      </c>
      <c r="J455" s="38">
        <v>145</v>
      </c>
      <c r="K455" s="35" t="s">
        <v>19</v>
      </c>
      <c r="L455" s="35" t="s">
        <v>20</v>
      </c>
      <c r="M455" s="38">
        <f t="shared" si="7"/>
        <v>1160</v>
      </c>
    </row>
    <row r="456" ht="15.75" spans="1:13">
      <c r="A456" s="35" t="s">
        <v>497</v>
      </c>
      <c r="B456" s="36">
        <v>46270</v>
      </c>
      <c r="C456" s="35" t="s">
        <v>22</v>
      </c>
      <c r="D456" s="35" t="s">
        <v>57</v>
      </c>
      <c r="E456" s="35" t="s">
        <v>15</v>
      </c>
      <c r="F456" s="35" t="s">
        <v>40</v>
      </c>
      <c r="G456" s="35" t="s">
        <v>29</v>
      </c>
      <c r="H456" s="35" t="s">
        <v>30</v>
      </c>
      <c r="I456" s="37">
        <v>21</v>
      </c>
      <c r="J456" s="38">
        <v>26</v>
      </c>
      <c r="K456" s="35" t="s">
        <v>20</v>
      </c>
      <c r="L456" s="35" t="s">
        <v>20</v>
      </c>
      <c r="M456" s="38">
        <f t="shared" si="7"/>
        <v>546</v>
      </c>
    </row>
    <row r="457" ht="15.75" spans="1:13">
      <c r="A457" s="35" t="s">
        <v>498</v>
      </c>
      <c r="B457" s="36">
        <v>46207</v>
      </c>
      <c r="C457" s="35" t="s">
        <v>52</v>
      </c>
      <c r="D457" s="35" t="s">
        <v>53</v>
      </c>
      <c r="E457" s="35" t="s">
        <v>48</v>
      </c>
      <c r="F457" s="35" t="s">
        <v>28</v>
      </c>
      <c r="G457" s="35" t="s">
        <v>35</v>
      </c>
      <c r="H457" s="35" t="s">
        <v>30</v>
      </c>
      <c r="I457" s="37">
        <v>22</v>
      </c>
      <c r="J457" s="38">
        <v>210</v>
      </c>
      <c r="K457" s="35" t="s">
        <v>20</v>
      </c>
      <c r="L457" s="35" t="s">
        <v>24</v>
      </c>
      <c r="M457" s="38">
        <f t="shared" si="7"/>
        <v>4620</v>
      </c>
    </row>
    <row r="458" ht="15.75" spans="1:13">
      <c r="A458" s="35" t="s">
        <v>499</v>
      </c>
      <c r="B458" s="36">
        <v>46278</v>
      </c>
      <c r="C458" s="35" t="s">
        <v>22</v>
      </c>
      <c r="D458" s="35" t="s">
        <v>47</v>
      </c>
      <c r="E458" s="35" t="s">
        <v>48</v>
      </c>
      <c r="F458" s="35" t="s">
        <v>16</v>
      </c>
      <c r="G458" s="35" t="s">
        <v>35</v>
      </c>
      <c r="H458" s="35" t="s">
        <v>30</v>
      </c>
      <c r="I458" s="37">
        <v>26</v>
      </c>
      <c r="J458" s="38">
        <v>210</v>
      </c>
      <c r="K458" s="35" t="s">
        <v>19</v>
      </c>
      <c r="L458" s="35" t="s">
        <v>20</v>
      </c>
      <c r="M458" s="38">
        <f t="shared" si="7"/>
        <v>5460</v>
      </c>
    </row>
    <row r="459" ht="15.75" spans="1:13">
      <c r="A459" s="35" t="s">
        <v>500</v>
      </c>
      <c r="B459" s="36">
        <v>46289</v>
      </c>
      <c r="C459" s="35" t="s">
        <v>26</v>
      </c>
      <c r="D459" s="35" t="s">
        <v>37</v>
      </c>
      <c r="E459" s="35" t="s">
        <v>33</v>
      </c>
      <c r="F459" s="35" t="s">
        <v>16</v>
      </c>
      <c r="G459" s="35" t="s">
        <v>29</v>
      </c>
      <c r="H459" s="35" t="s">
        <v>30</v>
      </c>
      <c r="I459" s="37">
        <v>32</v>
      </c>
      <c r="J459" s="38">
        <v>26</v>
      </c>
      <c r="K459" s="35" t="s">
        <v>19</v>
      </c>
      <c r="L459" s="35" t="s">
        <v>20</v>
      </c>
      <c r="M459" s="38">
        <f t="shared" si="7"/>
        <v>832</v>
      </c>
    </row>
    <row r="460" ht="15.75" spans="1:13">
      <c r="A460" s="35" t="s">
        <v>501</v>
      </c>
      <c r="B460" s="36">
        <v>46220</v>
      </c>
      <c r="C460" s="35" t="s">
        <v>26</v>
      </c>
      <c r="D460" s="35" t="s">
        <v>37</v>
      </c>
      <c r="E460" s="35" t="s">
        <v>33</v>
      </c>
      <c r="F460" s="35" t="s">
        <v>16</v>
      </c>
      <c r="G460" s="35" t="s">
        <v>45</v>
      </c>
      <c r="H460" s="35" t="s">
        <v>18</v>
      </c>
      <c r="I460" s="37">
        <v>20</v>
      </c>
      <c r="J460" s="38">
        <v>185</v>
      </c>
      <c r="K460" s="35" t="s">
        <v>20</v>
      </c>
      <c r="L460" s="35" t="s">
        <v>24</v>
      </c>
      <c r="M460" s="38">
        <f t="shared" si="7"/>
        <v>3700</v>
      </c>
    </row>
    <row r="461" ht="15.75" spans="1:13">
      <c r="A461" s="35" t="s">
        <v>502</v>
      </c>
      <c r="B461" s="36">
        <v>46232</v>
      </c>
      <c r="C461" s="35" t="s">
        <v>26</v>
      </c>
      <c r="D461" s="35" t="s">
        <v>32</v>
      </c>
      <c r="E461" s="35" t="s">
        <v>33</v>
      </c>
      <c r="F461" s="35" t="s">
        <v>16</v>
      </c>
      <c r="G461" s="35" t="s">
        <v>29</v>
      </c>
      <c r="H461" s="35" t="s">
        <v>30</v>
      </c>
      <c r="I461" s="37">
        <v>23</v>
      </c>
      <c r="J461" s="38">
        <v>26</v>
      </c>
      <c r="K461" s="35" t="s">
        <v>19</v>
      </c>
      <c r="L461" s="35" t="s">
        <v>20</v>
      </c>
      <c r="M461" s="38">
        <f t="shared" si="7"/>
        <v>598</v>
      </c>
    </row>
    <row r="462" ht="15.75" spans="1:13">
      <c r="A462" s="35" t="s">
        <v>503</v>
      </c>
      <c r="B462" s="36">
        <v>46241</v>
      </c>
      <c r="C462" s="35" t="s">
        <v>52</v>
      </c>
      <c r="D462" s="35" t="s">
        <v>47</v>
      </c>
      <c r="E462" s="35" t="s">
        <v>48</v>
      </c>
      <c r="F462" s="35" t="s">
        <v>16</v>
      </c>
      <c r="G462" s="35" t="s">
        <v>49</v>
      </c>
      <c r="H462" s="35" t="s">
        <v>18</v>
      </c>
      <c r="I462" s="37">
        <v>25</v>
      </c>
      <c r="J462" s="38">
        <v>145</v>
      </c>
      <c r="K462" s="35" t="s">
        <v>20</v>
      </c>
      <c r="L462" s="35" t="s">
        <v>24</v>
      </c>
      <c r="M462" s="38">
        <f t="shared" si="7"/>
        <v>3625</v>
      </c>
    </row>
    <row r="463" ht="15.75" spans="1:13">
      <c r="A463" s="35" t="s">
        <v>504</v>
      </c>
      <c r="B463" s="36">
        <v>46228</v>
      </c>
      <c r="C463" s="35" t="s">
        <v>13</v>
      </c>
      <c r="D463" s="35" t="s">
        <v>53</v>
      </c>
      <c r="E463" s="35" t="s">
        <v>48</v>
      </c>
      <c r="F463" s="35" t="s">
        <v>28</v>
      </c>
      <c r="G463" s="35" t="s">
        <v>23</v>
      </c>
      <c r="H463" s="35" t="s">
        <v>18</v>
      </c>
      <c r="I463" s="37">
        <v>6</v>
      </c>
      <c r="J463" s="38">
        <v>175</v>
      </c>
      <c r="K463" s="35" t="s">
        <v>20</v>
      </c>
      <c r="L463" s="35" t="s">
        <v>24</v>
      </c>
      <c r="M463" s="38">
        <f t="shared" si="7"/>
        <v>1050</v>
      </c>
    </row>
    <row r="464" ht="15.75" spans="1:13">
      <c r="A464" s="35" t="s">
        <v>505</v>
      </c>
      <c r="B464" s="36">
        <v>46223</v>
      </c>
      <c r="C464" s="35" t="s">
        <v>22</v>
      </c>
      <c r="D464" s="35" t="s">
        <v>57</v>
      </c>
      <c r="E464" s="35" t="s">
        <v>15</v>
      </c>
      <c r="F464" s="35" t="s">
        <v>40</v>
      </c>
      <c r="G464" s="35" t="s">
        <v>35</v>
      </c>
      <c r="H464" s="35" t="s">
        <v>30</v>
      </c>
      <c r="I464" s="37">
        <v>5</v>
      </c>
      <c r="J464" s="38">
        <v>210</v>
      </c>
      <c r="K464" s="35" t="s">
        <v>20</v>
      </c>
      <c r="L464" s="35" t="s">
        <v>24</v>
      </c>
      <c r="M464" s="38">
        <f t="shared" si="7"/>
        <v>1050</v>
      </c>
    </row>
    <row r="465" ht="15.75" spans="1:13">
      <c r="A465" s="35" t="s">
        <v>506</v>
      </c>
      <c r="B465" s="36">
        <v>46295</v>
      </c>
      <c r="C465" s="35" t="s">
        <v>22</v>
      </c>
      <c r="D465" s="35" t="s">
        <v>53</v>
      </c>
      <c r="E465" s="35" t="s">
        <v>48</v>
      </c>
      <c r="F465" s="35" t="s">
        <v>28</v>
      </c>
      <c r="G465" s="35" t="s">
        <v>35</v>
      </c>
      <c r="H465" s="35" t="s">
        <v>30</v>
      </c>
      <c r="I465" s="37">
        <v>11</v>
      </c>
      <c r="J465" s="38">
        <v>210</v>
      </c>
      <c r="K465" s="35" t="s">
        <v>20</v>
      </c>
      <c r="L465" s="35" t="s">
        <v>24</v>
      </c>
      <c r="M465" s="38">
        <f t="shared" si="7"/>
        <v>2310</v>
      </c>
    </row>
    <row r="466" ht="15.75" spans="1:13">
      <c r="A466" s="35" t="s">
        <v>507</v>
      </c>
      <c r="B466" s="36">
        <v>46230</v>
      </c>
      <c r="C466" s="35" t="s">
        <v>22</v>
      </c>
      <c r="D466" s="35" t="s">
        <v>32</v>
      </c>
      <c r="E466" s="35" t="s">
        <v>33</v>
      </c>
      <c r="F466" s="35" t="s">
        <v>16</v>
      </c>
      <c r="G466" s="35" t="s">
        <v>49</v>
      </c>
      <c r="H466" s="35" t="s">
        <v>18</v>
      </c>
      <c r="I466" s="37">
        <v>53</v>
      </c>
      <c r="J466" s="38">
        <v>145</v>
      </c>
      <c r="K466" s="35" t="s">
        <v>19</v>
      </c>
      <c r="L466" s="35" t="s">
        <v>24</v>
      </c>
      <c r="M466" s="38">
        <f t="shared" si="7"/>
        <v>7685</v>
      </c>
    </row>
    <row r="467" ht="15.75" spans="1:13">
      <c r="A467" s="35" t="s">
        <v>508</v>
      </c>
      <c r="B467" s="36">
        <v>46255</v>
      </c>
      <c r="C467" s="35" t="s">
        <v>52</v>
      </c>
      <c r="D467" s="35" t="s">
        <v>14</v>
      </c>
      <c r="E467" s="35" t="s">
        <v>15</v>
      </c>
      <c r="F467" s="35" t="s">
        <v>16</v>
      </c>
      <c r="G467" s="35" t="s">
        <v>45</v>
      </c>
      <c r="H467" s="35" t="s">
        <v>18</v>
      </c>
      <c r="I467" s="37">
        <v>29</v>
      </c>
      <c r="J467" s="38">
        <v>185</v>
      </c>
      <c r="K467" s="35" t="s">
        <v>20</v>
      </c>
      <c r="L467" s="35" t="s">
        <v>24</v>
      </c>
      <c r="M467" s="38">
        <f t="shared" si="7"/>
        <v>5365</v>
      </c>
    </row>
    <row r="468" ht="15.75" spans="1:13">
      <c r="A468" s="35" t="s">
        <v>509</v>
      </c>
      <c r="B468" s="36">
        <v>46205</v>
      </c>
      <c r="C468" s="35" t="s">
        <v>26</v>
      </c>
      <c r="D468" s="35" t="s">
        <v>39</v>
      </c>
      <c r="E468" s="35" t="s">
        <v>15</v>
      </c>
      <c r="F468" s="35" t="s">
        <v>40</v>
      </c>
      <c r="G468" s="35" t="s">
        <v>23</v>
      </c>
      <c r="H468" s="35" t="s">
        <v>18</v>
      </c>
      <c r="I468" s="37">
        <v>14</v>
      </c>
      <c r="J468" s="38">
        <v>175</v>
      </c>
      <c r="K468" s="35" t="s">
        <v>20</v>
      </c>
      <c r="L468" s="35" t="s">
        <v>24</v>
      </c>
      <c r="M468" s="38">
        <f t="shared" si="7"/>
        <v>2450</v>
      </c>
    </row>
    <row r="469" ht="15.75" spans="1:13">
      <c r="A469" s="35" t="s">
        <v>510</v>
      </c>
      <c r="B469" s="36">
        <v>46235</v>
      </c>
      <c r="C469" s="35" t="s">
        <v>22</v>
      </c>
      <c r="D469" s="35" t="s">
        <v>39</v>
      </c>
      <c r="E469" s="35" t="s">
        <v>15</v>
      </c>
      <c r="F469" s="35" t="s">
        <v>40</v>
      </c>
      <c r="G469" s="35" t="s">
        <v>29</v>
      </c>
      <c r="H469" s="35" t="s">
        <v>30</v>
      </c>
      <c r="I469" s="37">
        <v>2</v>
      </c>
      <c r="J469" s="38">
        <v>26</v>
      </c>
      <c r="K469" s="35" t="s">
        <v>19</v>
      </c>
      <c r="L469" s="35" t="s">
        <v>24</v>
      </c>
      <c r="M469" s="38">
        <f t="shared" si="7"/>
        <v>52</v>
      </c>
    </row>
    <row r="470" ht="15.75" spans="1:13">
      <c r="A470" s="35" t="s">
        <v>511</v>
      </c>
      <c r="B470" s="36">
        <v>46243</v>
      </c>
      <c r="C470" s="35" t="s">
        <v>22</v>
      </c>
      <c r="D470" s="35" t="s">
        <v>32</v>
      </c>
      <c r="E470" s="35" t="s">
        <v>33</v>
      </c>
      <c r="F470" s="35" t="s">
        <v>16</v>
      </c>
      <c r="G470" s="35" t="s">
        <v>17</v>
      </c>
      <c r="H470" s="35" t="s">
        <v>18</v>
      </c>
      <c r="I470" s="37">
        <v>26</v>
      </c>
      <c r="J470" s="38">
        <v>260</v>
      </c>
      <c r="K470" s="35" t="s">
        <v>19</v>
      </c>
      <c r="L470" s="35" t="s">
        <v>24</v>
      </c>
      <c r="M470" s="38">
        <f t="shared" si="7"/>
        <v>6760</v>
      </c>
    </row>
    <row r="471" ht="15.75" spans="1:13">
      <c r="A471" s="35" t="s">
        <v>512</v>
      </c>
      <c r="B471" s="36">
        <v>46247</v>
      </c>
      <c r="C471" s="35" t="s">
        <v>52</v>
      </c>
      <c r="D471" s="35" t="s">
        <v>57</v>
      </c>
      <c r="E471" s="35" t="s">
        <v>15</v>
      </c>
      <c r="F471" s="35" t="s">
        <v>40</v>
      </c>
      <c r="G471" s="35" t="s">
        <v>35</v>
      </c>
      <c r="H471" s="35" t="s">
        <v>30</v>
      </c>
      <c r="I471" s="37">
        <v>35</v>
      </c>
      <c r="J471" s="38">
        <v>210</v>
      </c>
      <c r="K471" s="35" t="s">
        <v>20</v>
      </c>
      <c r="L471" s="35" t="s">
        <v>58</v>
      </c>
      <c r="M471" s="38">
        <f t="shared" si="7"/>
        <v>7350</v>
      </c>
    </row>
    <row r="472" ht="15.75" spans="1:13">
      <c r="A472" s="35" t="s">
        <v>513</v>
      </c>
      <c r="B472" s="36">
        <v>46225</v>
      </c>
      <c r="C472" s="35" t="s">
        <v>52</v>
      </c>
      <c r="D472" s="35" t="s">
        <v>78</v>
      </c>
      <c r="E472" s="35" t="s">
        <v>48</v>
      </c>
      <c r="F472" s="35" t="s">
        <v>28</v>
      </c>
      <c r="G472" s="35" t="s">
        <v>35</v>
      </c>
      <c r="H472" s="35" t="s">
        <v>30</v>
      </c>
      <c r="I472" s="37">
        <v>24</v>
      </c>
      <c r="J472" s="38">
        <v>210</v>
      </c>
      <c r="K472" s="35" t="s">
        <v>19</v>
      </c>
      <c r="L472" s="35" t="s">
        <v>24</v>
      </c>
      <c r="M472" s="38">
        <f t="shared" si="7"/>
        <v>5040</v>
      </c>
    </row>
    <row r="473" ht="15.75" spans="1:13">
      <c r="A473" s="35" t="s">
        <v>514</v>
      </c>
      <c r="B473" s="36">
        <v>46225</v>
      </c>
      <c r="C473" s="35" t="s">
        <v>13</v>
      </c>
      <c r="D473" s="35" t="s">
        <v>32</v>
      </c>
      <c r="E473" s="35" t="s">
        <v>33</v>
      </c>
      <c r="F473" s="35" t="s">
        <v>16</v>
      </c>
      <c r="G473" s="35" t="s">
        <v>45</v>
      </c>
      <c r="H473" s="35" t="s">
        <v>18</v>
      </c>
      <c r="I473" s="37">
        <v>3</v>
      </c>
      <c r="J473" s="38">
        <v>185</v>
      </c>
      <c r="K473" s="35" t="s">
        <v>19</v>
      </c>
      <c r="L473" s="35" t="s">
        <v>24</v>
      </c>
      <c r="M473" s="38">
        <f t="shared" si="7"/>
        <v>555</v>
      </c>
    </row>
    <row r="474" ht="15.75" spans="1:13">
      <c r="A474" s="35" t="s">
        <v>515</v>
      </c>
      <c r="B474" s="36">
        <v>46283</v>
      </c>
      <c r="C474" s="35" t="s">
        <v>13</v>
      </c>
      <c r="D474" s="35" t="s">
        <v>39</v>
      </c>
      <c r="E474" s="35" t="s">
        <v>15</v>
      </c>
      <c r="F474" s="35" t="s">
        <v>40</v>
      </c>
      <c r="G474" s="35" t="s">
        <v>35</v>
      </c>
      <c r="H474" s="35" t="s">
        <v>30</v>
      </c>
      <c r="I474" s="37">
        <v>18</v>
      </c>
      <c r="J474" s="38">
        <v>210</v>
      </c>
      <c r="K474" s="35" t="s">
        <v>19</v>
      </c>
      <c r="L474" s="35" t="s">
        <v>24</v>
      </c>
      <c r="M474" s="38">
        <f t="shared" si="7"/>
        <v>3780</v>
      </c>
    </row>
    <row r="475" ht="15.75" spans="1:13">
      <c r="A475" s="35" t="s">
        <v>516</v>
      </c>
      <c r="B475" s="36">
        <v>46257</v>
      </c>
      <c r="C475" s="35" t="s">
        <v>52</v>
      </c>
      <c r="D475" s="35" t="s">
        <v>14</v>
      </c>
      <c r="E475" s="35" t="s">
        <v>15</v>
      </c>
      <c r="F475" s="35" t="s">
        <v>16</v>
      </c>
      <c r="G475" s="35" t="s">
        <v>29</v>
      </c>
      <c r="H475" s="35" t="s">
        <v>30</v>
      </c>
      <c r="I475" s="37">
        <v>43</v>
      </c>
      <c r="J475" s="38">
        <v>26</v>
      </c>
      <c r="K475" s="35" t="s">
        <v>19</v>
      </c>
      <c r="L475" s="35" t="s">
        <v>24</v>
      </c>
      <c r="M475" s="38">
        <f t="shared" si="7"/>
        <v>1118</v>
      </c>
    </row>
    <row r="476" ht="15.75" spans="1:13">
      <c r="A476" s="35" t="s">
        <v>517</v>
      </c>
      <c r="B476" s="36">
        <v>46291</v>
      </c>
      <c r="C476" s="35" t="s">
        <v>13</v>
      </c>
      <c r="D476" s="35" t="s">
        <v>42</v>
      </c>
      <c r="E476" s="35" t="s">
        <v>15</v>
      </c>
      <c r="F476" s="35" t="s">
        <v>40</v>
      </c>
      <c r="G476" s="35" t="s">
        <v>29</v>
      </c>
      <c r="H476" s="35" t="s">
        <v>30</v>
      </c>
      <c r="I476" s="37">
        <v>11</v>
      </c>
      <c r="J476" s="38">
        <v>26</v>
      </c>
      <c r="K476" s="35" t="s">
        <v>19</v>
      </c>
      <c r="L476" s="35" t="s">
        <v>24</v>
      </c>
      <c r="M476" s="38">
        <f t="shared" si="7"/>
        <v>286</v>
      </c>
    </row>
    <row r="477" ht="15.75" spans="1:13">
      <c r="A477" s="35" t="s">
        <v>518</v>
      </c>
      <c r="B477" s="36">
        <v>46217</v>
      </c>
      <c r="C477" s="35" t="s">
        <v>13</v>
      </c>
      <c r="D477" s="35" t="s">
        <v>37</v>
      </c>
      <c r="E477" s="35" t="s">
        <v>33</v>
      </c>
      <c r="F477" s="35" t="s">
        <v>16</v>
      </c>
      <c r="G477" s="35" t="s">
        <v>49</v>
      </c>
      <c r="H477" s="35" t="s">
        <v>18</v>
      </c>
      <c r="I477" s="37">
        <v>10</v>
      </c>
      <c r="J477" s="38">
        <v>145</v>
      </c>
      <c r="K477" s="35" t="s">
        <v>19</v>
      </c>
      <c r="L477" s="35" t="s">
        <v>20</v>
      </c>
      <c r="M477" s="38">
        <f t="shared" si="7"/>
        <v>1450</v>
      </c>
    </row>
    <row r="478" ht="15.75" spans="1:13">
      <c r="A478" s="35" t="s">
        <v>519</v>
      </c>
      <c r="B478" s="36">
        <v>46270</v>
      </c>
      <c r="C478" s="35" t="s">
        <v>22</v>
      </c>
      <c r="D478" s="35" t="s">
        <v>42</v>
      </c>
      <c r="E478" s="35" t="s">
        <v>15</v>
      </c>
      <c r="F478" s="35" t="s">
        <v>40</v>
      </c>
      <c r="G478" s="35" t="s">
        <v>45</v>
      </c>
      <c r="H478" s="35" t="s">
        <v>18</v>
      </c>
      <c r="I478" s="37">
        <v>14</v>
      </c>
      <c r="J478" s="38">
        <v>185</v>
      </c>
      <c r="K478" s="35" t="s">
        <v>19</v>
      </c>
      <c r="L478" s="35" t="s">
        <v>24</v>
      </c>
      <c r="M478" s="38">
        <f t="shared" si="7"/>
        <v>2590</v>
      </c>
    </row>
    <row r="479" ht="15.75" spans="1:13">
      <c r="A479" s="35" t="s">
        <v>520</v>
      </c>
      <c r="B479" s="36">
        <v>46292</v>
      </c>
      <c r="C479" s="35" t="s">
        <v>52</v>
      </c>
      <c r="D479" s="35" t="s">
        <v>32</v>
      </c>
      <c r="E479" s="35" t="s">
        <v>33</v>
      </c>
      <c r="F479" s="35" t="s">
        <v>16</v>
      </c>
      <c r="G479" s="35" t="s">
        <v>17</v>
      </c>
      <c r="H479" s="35" t="s">
        <v>18</v>
      </c>
      <c r="I479" s="37">
        <v>33</v>
      </c>
      <c r="J479" s="38">
        <v>260</v>
      </c>
      <c r="K479" s="35" t="s">
        <v>19</v>
      </c>
      <c r="L479" s="35" t="s">
        <v>24</v>
      </c>
      <c r="M479" s="38">
        <f t="shared" si="7"/>
        <v>8580</v>
      </c>
    </row>
    <row r="480" ht="15.75" spans="1:13">
      <c r="A480" s="35" t="s">
        <v>521</v>
      </c>
      <c r="B480" s="36">
        <v>46215</v>
      </c>
      <c r="C480" s="35" t="s">
        <v>13</v>
      </c>
      <c r="D480" s="35" t="s">
        <v>14</v>
      </c>
      <c r="E480" s="35" t="s">
        <v>15</v>
      </c>
      <c r="F480" s="35" t="s">
        <v>16</v>
      </c>
      <c r="G480" s="35" t="s">
        <v>17</v>
      </c>
      <c r="H480" s="35" t="s">
        <v>18</v>
      </c>
      <c r="I480" s="37">
        <v>33</v>
      </c>
      <c r="J480" s="38">
        <v>260</v>
      </c>
      <c r="K480" s="35" t="s">
        <v>20</v>
      </c>
      <c r="L480" s="35" t="s">
        <v>24</v>
      </c>
      <c r="M480" s="38">
        <f t="shared" si="7"/>
        <v>8580</v>
      </c>
    </row>
    <row r="481" ht="15.75" spans="1:13">
      <c r="A481" s="35" t="s">
        <v>522</v>
      </c>
      <c r="B481" s="36">
        <v>46241</v>
      </c>
      <c r="C481" s="35" t="s">
        <v>26</v>
      </c>
      <c r="D481" s="35" t="s">
        <v>57</v>
      </c>
      <c r="E481" s="35" t="s">
        <v>15</v>
      </c>
      <c r="F481" s="35" t="s">
        <v>40</v>
      </c>
      <c r="G481" s="35" t="s">
        <v>29</v>
      </c>
      <c r="H481" s="35" t="s">
        <v>30</v>
      </c>
      <c r="I481" s="37">
        <v>16</v>
      </c>
      <c r="J481" s="38">
        <v>26</v>
      </c>
      <c r="K481" s="35" t="s">
        <v>19</v>
      </c>
      <c r="L481" s="35" t="s">
        <v>24</v>
      </c>
      <c r="M481" s="38">
        <f t="shared" si="7"/>
        <v>416</v>
      </c>
    </row>
    <row r="482" ht="15.75" spans="1:13">
      <c r="A482" s="35" t="s">
        <v>523</v>
      </c>
      <c r="B482" s="36">
        <v>46290</v>
      </c>
      <c r="C482" s="35" t="s">
        <v>26</v>
      </c>
      <c r="D482" s="35" t="s">
        <v>32</v>
      </c>
      <c r="E482" s="35" t="s">
        <v>33</v>
      </c>
      <c r="F482" s="35" t="s">
        <v>16</v>
      </c>
      <c r="G482" s="35" t="s">
        <v>17</v>
      </c>
      <c r="H482" s="35" t="s">
        <v>18</v>
      </c>
      <c r="I482" s="37">
        <v>20</v>
      </c>
      <c r="J482" s="38">
        <v>260</v>
      </c>
      <c r="K482" s="35" t="s">
        <v>19</v>
      </c>
      <c r="L482" s="35" t="s">
        <v>24</v>
      </c>
      <c r="M482" s="38">
        <f t="shared" si="7"/>
        <v>5200</v>
      </c>
    </row>
    <row r="483" ht="15.75" spans="1:13">
      <c r="A483" s="35" t="s">
        <v>524</v>
      </c>
      <c r="B483" s="36">
        <v>46225</v>
      </c>
      <c r="C483" s="35" t="s">
        <v>26</v>
      </c>
      <c r="D483" s="35" t="s">
        <v>39</v>
      </c>
      <c r="E483" s="35" t="s">
        <v>15</v>
      </c>
      <c r="F483" s="35" t="s">
        <v>40</v>
      </c>
      <c r="G483" s="35" t="s">
        <v>17</v>
      </c>
      <c r="H483" s="35" t="s">
        <v>18</v>
      </c>
      <c r="I483" s="37">
        <v>10</v>
      </c>
      <c r="J483" s="38">
        <v>260</v>
      </c>
      <c r="K483" s="35" t="s">
        <v>19</v>
      </c>
      <c r="L483" s="35" t="s">
        <v>24</v>
      </c>
      <c r="M483" s="38">
        <f t="shared" si="7"/>
        <v>2600</v>
      </c>
    </row>
    <row r="484" ht="15.75" spans="1:13">
      <c r="A484" s="35" t="s">
        <v>525</v>
      </c>
      <c r="B484" s="36">
        <v>46247</v>
      </c>
      <c r="C484" s="35" t="s">
        <v>22</v>
      </c>
      <c r="D484" s="35" t="s">
        <v>53</v>
      </c>
      <c r="E484" s="35" t="s">
        <v>48</v>
      </c>
      <c r="F484" s="35" t="s">
        <v>28</v>
      </c>
      <c r="G484" s="35" t="s">
        <v>49</v>
      </c>
      <c r="H484" s="35" t="s">
        <v>18</v>
      </c>
      <c r="I484" s="37">
        <v>7</v>
      </c>
      <c r="J484" s="38">
        <v>145</v>
      </c>
      <c r="K484" s="35" t="s">
        <v>19</v>
      </c>
      <c r="L484" s="35" t="s">
        <v>24</v>
      </c>
      <c r="M484" s="38">
        <f t="shared" si="7"/>
        <v>1015</v>
      </c>
    </row>
    <row r="485" ht="15.75" spans="1:13">
      <c r="A485" s="35" t="s">
        <v>526</v>
      </c>
      <c r="B485" s="36">
        <v>46265</v>
      </c>
      <c r="C485" s="35" t="s">
        <v>52</v>
      </c>
      <c r="D485" s="35" t="s">
        <v>42</v>
      </c>
      <c r="E485" s="35" t="s">
        <v>15</v>
      </c>
      <c r="F485" s="35" t="s">
        <v>40</v>
      </c>
      <c r="G485" s="35" t="s">
        <v>49</v>
      </c>
      <c r="H485" s="35" t="s">
        <v>18</v>
      </c>
      <c r="I485" s="37">
        <v>26</v>
      </c>
      <c r="J485" s="38">
        <v>145</v>
      </c>
      <c r="K485" s="35" t="s">
        <v>19</v>
      </c>
      <c r="L485" s="35" t="s">
        <v>20</v>
      </c>
      <c r="M485" s="38">
        <f t="shared" si="7"/>
        <v>3770</v>
      </c>
    </row>
    <row r="486" ht="15.75" spans="1:13">
      <c r="A486" s="35" t="s">
        <v>527</v>
      </c>
      <c r="B486" s="36">
        <v>46224</v>
      </c>
      <c r="C486" s="35" t="s">
        <v>13</v>
      </c>
      <c r="D486" s="35" t="s">
        <v>14</v>
      </c>
      <c r="E486" s="35" t="s">
        <v>15</v>
      </c>
      <c r="F486" s="35" t="s">
        <v>16</v>
      </c>
      <c r="G486" s="35" t="s">
        <v>45</v>
      </c>
      <c r="H486" s="35" t="s">
        <v>18</v>
      </c>
      <c r="I486" s="37">
        <v>5</v>
      </c>
      <c r="J486" s="38">
        <v>185</v>
      </c>
      <c r="K486" s="35" t="s">
        <v>19</v>
      </c>
      <c r="L486" s="35" t="s">
        <v>24</v>
      </c>
      <c r="M486" s="38">
        <f t="shared" si="7"/>
        <v>925</v>
      </c>
    </row>
    <row r="487" ht="15.75" spans="1:13">
      <c r="A487" s="35" t="s">
        <v>528</v>
      </c>
      <c r="B487" s="36">
        <v>46252</v>
      </c>
      <c r="C487" s="35" t="s">
        <v>26</v>
      </c>
      <c r="D487" s="35" t="s">
        <v>53</v>
      </c>
      <c r="E487" s="35" t="s">
        <v>48</v>
      </c>
      <c r="F487" s="35" t="s">
        <v>28</v>
      </c>
      <c r="G487" s="35" t="s">
        <v>29</v>
      </c>
      <c r="H487" s="35" t="s">
        <v>30</v>
      </c>
      <c r="I487" s="37">
        <v>30</v>
      </c>
      <c r="J487" s="38">
        <v>26</v>
      </c>
      <c r="K487" s="35" t="s">
        <v>19</v>
      </c>
      <c r="L487" s="35" t="s">
        <v>20</v>
      </c>
      <c r="M487" s="38">
        <f t="shared" si="7"/>
        <v>780</v>
      </c>
    </row>
    <row r="488" ht="15.75" spans="1:13">
      <c r="A488" s="35" t="s">
        <v>529</v>
      </c>
      <c r="B488" s="36">
        <v>46256</v>
      </c>
      <c r="C488" s="35" t="s">
        <v>52</v>
      </c>
      <c r="D488" s="35" t="s">
        <v>32</v>
      </c>
      <c r="E488" s="35" t="s">
        <v>33</v>
      </c>
      <c r="F488" s="35" t="s">
        <v>16</v>
      </c>
      <c r="G488" s="35" t="s">
        <v>35</v>
      </c>
      <c r="H488" s="35" t="s">
        <v>30</v>
      </c>
      <c r="I488" s="37">
        <v>33</v>
      </c>
      <c r="J488" s="38">
        <v>210</v>
      </c>
      <c r="K488" s="35" t="s">
        <v>19</v>
      </c>
      <c r="L488" s="35" t="s">
        <v>24</v>
      </c>
      <c r="M488" s="38">
        <f t="shared" si="7"/>
        <v>6930</v>
      </c>
    </row>
    <row r="489" ht="15.75" spans="1:13">
      <c r="A489" s="35" t="s">
        <v>530</v>
      </c>
      <c r="B489" s="36">
        <v>46277</v>
      </c>
      <c r="C489" s="35" t="s">
        <v>22</v>
      </c>
      <c r="D489" s="35" t="s">
        <v>78</v>
      </c>
      <c r="E489" s="35" t="s">
        <v>48</v>
      </c>
      <c r="F489" s="35" t="s">
        <v>28</v>
      </c>
      <c r="G489" s="35" t="s">
        <v>17</v>
      </c>
      <c r="H489" s="35" t="s">
        <v>18</v>
      </c>
      <c r="I489" s="37">
        <v>35</v>
      </c>
      <c r="J489" s="38">
        <v>260</v>
      </c>
      <c r="K489" s="35" t="s">
        <v>20</v>
      </c>
      <c r="L489" s="35" t="s">
        <v>24</v>
      </c>
      <c r="M489" s="38">
        <f t="shared" si="7"/>
        <v>9100</v>
      </c>
    </row>
    <row r="490" ht="15.75" spans="1:13">
      <c r="A490" s="35" t="s">
        <v>531</v>
      </c>
      <c r="B490" s="36">
        <v>46283</v>
      </c>
      <c r="C490" s="35" t="s">
        <v>13</v>
      </c>
      <c r="D490" s="35" t="s">
        <v>78</v>
      </c>
      <c r="E490" s="35" t="s">
        <v>48</v>
      </c>
      <c r="F490" s="35" t="s">
        <v>28</v>
      </c>
      <c r="G490" s="35" t="s">
        <v>23</v>
      </c>
      <c r="H490" s="35" t="s">
        <v>18</v>
      </c>
      <c r="I490" s="37">
        <v>35</v>
      </c>
      <c r="J490" s="38">
        <v>175</v>
      </c>
      <c r="K490" s="35" t="s">
        <v>19</v>
      </c>
      <c r="L490" s="35" t="s">
        <v>20</v>
      </c>
      <c r="M490" s="38">
        <f t="shared" si="7"/>
        <v>6125</v>
      </c>
    </row>
    <row r="491" ht="15.75" spans="1:13">
      <c r="A491" s="35" t="s">
        <v>532</v>
      </c>
      <c r="B491" s="36">
        <v>46275</v>
      </c>
      <c r="C491" s="35" t="s">
        <v>13</v>
      </c>
      <c r="D491" s="35" t="s">
        <v>42</v>
      </c>
      <c r="E491" s="35" t="s">
        <v>15</v>
      </c>
      <c r="F491" s="35" t="s">
        <v>40</v>
      </c>
      <c r="G491" s="35" t="s">
        <v>49</v>
      </c>
      <c r="H491" s="35" t="s">
        <v>18</v>
      </c>
      <c r="I491" s="37">
        <v>26</v>
      </c>
      <c r="J491" s="38">
        <v>145</v>
      </c>
      <c r="K491" s="35" t="s">
        <v>19</v>
      </c>
      <c r="L491" s="35" t="s">
        <v>58</v>
      </c>
      <c r="M491" s="38">
        <f t="shared" si="7"/>
        <v>3770</v>
      </c>
    </row>
    <row r="492" ht="15.75" spans="1:13">
      <c r="A492" s="35" t="s">
        <v>533</v>
      </c>
      <c r="B492" s="36">
        <v>46213</v>
      </c>
      <c r="C492" s="35" t="s">
        <v>52</v>
      </c>
      <c r="D492" s="35" t="s">
        <v>37</v>
      </c>
      <c r="E492" s="35" t="s">
        <v>33</v>
      </c>
      <c r="F492" s="35" t="s">
        <v>16</v>
      </c>
      <c r="G492" s="35" t="s">
        <v>35</v>
      </c>
      <c r="H492" s="35" t="s">
        <v>30</v>
      </c>
      <c r="I492" s="37">
        <v>33</v>
      </c>
      <c r="J492" s="38">
        <v>210</v>
      </c>
      <c r="K492" s="35" t="s">
        <v>19</v>
      </c>
      <c r="L492" s="35" t="s">
        <v>24</v>
      </c>
      <c r="M492" s="38">
        <f t="shared" si="7"/>
        <v>6930</v>
      </c>
    </row>
    <row r="493" ht="15.75" spans="1:13">
      <c r="A493" s="35" t="s">
        <v>534</v>
      </c>
      <c r="B493" s="36">
        <v>46286</v>
      </c>
      <c r="C493" s="35" t="s">
        <v>52</v>
      </c>
      <c r="D493" s="35" t="s">
        <v>57</v>
      </c>
      <c r="E493" s="35" t="s">
        <v>15</v>
      </c>
      <c r="F493" s="35" t="s">
        <v>40</v>
      </c>
      <c r="G493" s="35" t="s">
        <v>17</v>
      </c>
      <c r="H493" s="35" t="s">
        <v>18</v>
      </c>
      <c r="I493" s="37">
        <v>34</v>
      </c>
      <c r="J493" s="38">
        <v>260</v>
      </c>
      <c r="K493" s="35" t="s">
        <v>19</v>
      </c>
      <c r="L493" s="35" t="s">
        <v>24</v>
      </c>
      <c r="M493" s="38">
        <f t="shared" si="7"/>
        <v>8840</v>
      </c>
    </row>
    <row r="494" ht="15.75" spans="1:13">
      <c r="A494" s="35" t="s">
        <v>535</v>
      </c>
      <c r="B494" s="36">
        <v>46267</v>
      </c>
      <c r="C494" s="35" t="s">
        <v>52</v>
      </c>
      <c r="D494" s="35" t="s">
        <v>42</v>
      </c>
      <c r="E494" s="35" t="s">
        <v>15</v>
      </c>
      <c r="F494" s="35" t="s">
        <v>40</v>
      </c>
      <c r="G494" s="35" t="s">
        <v>35</v>
      </c>
      <c r="H494" s="35" t="s">
        <v>30</v>
      </c>
      <c r="I494" s="37">
        <v>30</v>
      </c>
      <c r="J494" s="38">
        <v>210</v>
      </c>
      <c r="K494" s="35" t="s">
        <v>19</v>
      </c>
      <c r="L494" s="35" t="s">
        <v>58</v>
      </c>
      <c r="M494" s="38">
        <f t="shared" si="7"/>
        <v>6300</v>
      </c>
    </row>
    <row r="495" ht="15.75" spans="1:13">
      <c r="A495" s="35" t="s">
        <v>536</v>
      </c>
      <c r="B495" s="36">
        <v>46275</v>
      </c>
      <c r="C495" s="35" t="s">
        <v>13</v>
      </c>
      <c r="D495" s="35" t="s">
        <v>39</v>
      </c>
      <c r="E495" s="35" t="s">
        <v>15</v>
      </c>
      <c r="F495" s="35" t="s">
        <v>40</v>
      </c>
      <c r="G495" s="35" t="s">
        <v>17</v>
      </c>
      <c r="H495" s="35" t="s">
        <v>18</v>
      </c>
      <c r="I495" s="37">
        <v>27</v>
      </c>
      <c r="J495" s="38">
        <v>260</v>
      </c>
      <c r="K495" s="35" t="s">
        <v>20</v>
      </c>
      <c r="L495" s="35" t="s">
        <v>20</v>
      </c>
      <c r="M495" s="38">
        <f t="shared" si="7"/>
        <v>7020</v>
      </c>
    </row>
    <row r="496" ht="15.75" spans="1:13">
      <c r="A496" s="35" t="s">
        <v>537</v>
      </c>
      <c r="B496" s="36">
        <v>46275</v>
      </c>
      <c r="C496" s="35" t="s">
        <v>22</v>
      </c>
      <c r="D496" s="35" t="s">
        <v>53</v>
      </c>
      <c r="E496" s="35" t="s">
        <v>48</v>
      </c>
      <c r="F496" s="35" t="s">
        <v>28</v>
      </c>
      <c r="G496" s="35" t="s">
        <v>29</v>
      </c>
      <c r="H496" s="35" t="s">
        <v>30</v>
      </c>
      <c r="I496" s="37">
        <v>21</v>
      </c>
      <c r="J496" s="38">
        <v>26</v>
      </c>
      <c r="K496" s="35" t="s">
        <v>19</v>
      </c>
      <c r="L496" s="35" t="s">
        <v>24</v>
      </c>
      <c r="M496" s="38">
        <f t="shared" si="7"/>
        <v>546</v>
      </c>
    </row>
    <row r="497" ht="15.75" spans="1:13">
      <c r="A497" s="35" t="s">
        <v>538</v>
      </c>
      <c r="B497" s="36">
        <v>46262</v>
      </c>
      <c r="C497" s="35" t="s">
        <v>26</v>
      </c>
      <c r="D497" s="35" t="s">
        <v>78</v>
      </c>
      <c r="E497" s="35" t="s">
        <v>48</v>
      </c>
      <c r="F497" s="35" t="s">
        <v>28</v>
      </c>
      <c r="G497" s="35" t="s">
        <v>49</v>
      </c>
      <c r="H497" s="35" t="s">
        <v>18</v>
      </c>
      <c r="I497" s="37">
        <v>5</v>
      </c>
      <c r="J497" s="38">
        <v>145</v>
      </c>
      <c r="K497" s="35" t="s">
        <v>19</v>
      </c>
      <c r="L497" s="35" t="s">
        <v>24</v>
      </c>
      <c r="M497" s="38">
        <f t="shared" si="7"/>
        <v>725</v>
      </c>
    </row>
    <row r="498" ht="15.75" spans="1:13">
      <c r="A498" s="35" t="s">
        <v>539</v>
      </c>
      <c r="B498" s="36">
        <v>46218</v>
      </c>
      <c r="C498" s="35" t="s">
        <v>13</v>
      </c>
      <c r="D498" s="35" t="s">
        <v>42</v>
      </c>
      <c r="E498" s="35" t="s">
        <v>15</v>
      </c>
      <c r="F498" s="35" t="s">
        <v>40</v>
      </c>
      <c r="G498" s="35" t="s">
        <v>29</v>
      </c>
      <c r="H498" s="35" t="s">
        <v>30</v>
      </c>
      <c r="I498" s="37">
        <v>25</v>
      </c>
      <c r="J498" s="38">
        <v>26</v>
      </c>
      <c r="K498" s="35" t="s">
        <v>20</v>
      </c>
      <c r="L498" s="35" t="s">
        <v>24</v>
      </c>
      <c r="M498" s="38">
        <f t="shared" si="7"/>
        <v>650</v>
      </c>
    </row>
    <row r="499" ht="15.75" spans="1:13">
      <c r="A499" s="35" t="s">
        <v>540</v>
      </c>
      <c r="B499" s="36">
        <v>46251</v>
      </c>
      <c r="C499" s="35" t="s">
        <v>13</v>
      </c>
      <c r="D499" s="35" t="s">
        <v>78</v>
      </c>
      <c r="E499" s="35" t="s">
        <v>48</v>
      </c>
      <c r="F499" s="35" t="s">
        <v>28</v>
      </c>
      <c r="G499" s="35" t="s">
        <v>49</v>
      </c>
      <c r="H499" s="35" t="s">
        <v>18</v>
      </c>
      <c r="I499" s="37">
        <v>20</v>
      </c>
      <c r="J499" s="38">
        <v>145</v>
      </c>
      <c r="K499" s="35" t="s">
        <v>19</v>
      </c>
      <c r="L499" s="35" t="s">
        <v>24</v>
      </c>
      <c r="M499" s="38">
        <f t="shared" si="7"/>
        <v>2900</v>
      </c>
    </row>
    <row r="500" ht="15.75" spans="1:13">
      <c r="A500" s="35" t="s">
        <v>541</v>
      </c>
      <c r="B500" s="36">
        <v>46282</v>
      </c>
      <c r="C500" s="35" t="s">
        <v>22</v>
      </c>
      <c r="D500" s="35" t="s">
        <v>32</v>
      </c>
      <c r="E500" s="35" t="s">
        <v>33</v>
      </c>
      <c r="F500" s="35" t="s">
        <v>16</v>
      </c>
      <c r="G500" s="35" t="s">
        <v>29</v>
      </c>
      <c r="H500" s="35" t="s">
        <v>30</v>
      </c>
      <c r="I500" s="37">
        <v>28</v>
      </c>
      <c r="J500" s="38">
        <v>26</v>
      </c>
      <c r="K500" s="35" t="s">
        <v>19</v>
      </c>
      <c r="L500" s="35" t="s">
        <v>58</v>
      </c>
      <c r="M500" s="38">
        <f t="shared" si="7"/>
        <v>728</v>
      </c>
    </row>
    <row r="501" ht="15.75" spans="1:13">
      <c r="A501" s="35" t="s">
        <v>542</v>
      </c>
      <c r="B501" s="36">
        <v>46228</v>
      </c>
      <c r="C501" s="35" t="s">
        <v>26</v>
      </c>
      <c r="D501" s="35" t="s">
        <v>47</v>
      </c>
      <c r="E501" s="35" t="s">
        <v>48</v>
      </c>
      <c r="F501" s="35" t="s">
        <v>16</v>
      </c>
      <c r="G501" s="35" t="s">
        <v>45</v>
      </c>
      <c r="H501" s="35" t="s">
        <v>18</v>
      </c>
      <c r="I501" s="37">
        <v>31</v>
      </c>
      <c r="J501" s="38">
        <v>185</v>
      </c>
      <c r="K501" s="35" t="s">
        <v>19</v>
      </c>
      <c r="L501" s="35" t="s">
        <v>24</v>
      </c>
      <c r="M501" s="38">
        <f t="shared" si="7"/>
        <v>5735</v>
      </c>
    </row>
    <row r="502" ht="15.75" spans="1:13">
      <c r="A502" s="35" t="s">
        <v>543</v>
      </c>
      <c r="B502" s="36">
        <v>46279</v>
      </c>
      <c r="C502" s="35" t="s">
        <v>22</v>
      </c>
      <c r="D502" s="35" t="s">
        <v>53</v>
      </c>
      <c r="E502" s="35" t="s">
        <v>48</v>
      </c>
      <c r="F502" s="35" t="s">
        <v>28</v>
      </c>
      <c r="G502" s="35" t="s">
        <v>17</v>
      </c>
      <c r="H502" s="35" t="s">
        <v>18</v>
      </c>
      <c r="I502" s="37">
        <v>30</v>
      </c>
      <c r="J502" s="38">
        <v>260</v>
      </c>
      <c r="K502" s="35" t="s">
        <v>20</v>
      </c>
      <c r="L502" s="35" t="s">
        <v>24</v>
      </c>
      <c r="M502" s="38">
        <f t="shared" si="7"/>
        <v>7800</v>
      </c>
    </row>
  </sheetData>
  <mergeCells count="1">
    <mergeCell ref="A1:M1"/>
  </mergeCells>
  <conditionalFormatting sqref="A3:A502">
    <cfRule type="duplicateValues" dxfId="4" priority="8"/>
    <cfRule type="duplicateValues" dxfId="4" priority="4"/>
  </conditionalFormatting>
  <conditionalFormatting sqref="I3:I502">
    <cfRule type="duplicateValues" dxfId="4" priority="5"/>
  </conditionalFormatting>
  <conditionalFormatting sqref="J3:J502">
    <cfRule type="duplicateValues" dxfId="4" priority="6"/>
  </conditionalFormatting>
  <conditionalFormatting sqref="K3:K502">
    <cfRule type="containsText" dxfId="5" priority="2" operator="between" text="Pending">
      <formula>NOT(ISERROR(SEARCH("Pending",K3)))</formula>
    </cfRule>
  </conditionalFormatting>
  <conditionalFormatting sqref="L3:L502">
    <cfRule type="containsText" dxfId="5" priority="1" operator="between" text="Pending">
      <formula>NOT(ISERROR(SEARCH("Pending",L3)))</formula>
    </cfRule>
  </conditionalFormatting>
  <conditionalFormatting sqref="M3:M502">
    <cfRule type="duplicateValues" dxfId="4" priority="3"/>
  </conditionalFormatting>
  <pageMargins left="0.25" right="0.25" top="0.75" bottom="0.75" header="0.3" footer="0.3"/>
  <pageSetup paperSize="11" scale="32" fitToHeight="0" orientation="landscape" horizontalDpi="600"/>
  <headerFooter>
    <oddHeader>&amp;CPage &amp;P</oddHeader>
    <oddFooter>&amp;C&amp;A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8"/>
  <sheetViews>
    <sheetView workbookViewId="0">
      <selection activeCell="J14" sqref="J14"/>
    </sheetView>
  </sheetViews>
  <sheetFormatPr defaultColWidth="9.14285714285714" defaultRowHeight="15" outlineLevelRow="7" outlineLevelCol="4"/>
  <cols>
    <col min="1" max="1" width="14.7142857142857" customWidth="1"/>
    <col min="2" max="2" width="15.5714285714286" customWidth="1"/>
    <col min="3" max="3" width="31.4285714285714" customWidth="1"/>
    <col min="4" max="4" width="24.1428571428571" customWidth="1"/>
    <col min="5" max="5" width="28.4285714285714" customWidth="1"/>
  </cols>
  <sheetData>
    <row r="1" ht="22" customHeight="1" spans="1:5">
      <c r="A1" s="24" t="s">
        <v>546</v>
      </c>
      <c r="B1" s="25"/>
      <c r="C1" s="25"/>
      <c r="D1" s="25"/>
      <c r="E1" s="26"/>
    </row>
    <row r="2" ht="19.5" spans="1:5">
      <c r="A2" s="27" t="s">
        <v>547</v>
      </c>
      <c r="B2" s="27" t="s">
        <v>548</v>
      </c>
      <c r="C2" s="27" t="s">
        <v>549</v>
      </c>
      <c r="D2" s="27" t="s">
        <v>550</v>
      </c>
      <c r="E2" s="27" t="s">
        <v>551</v>
      </c>
    </row>
    <row r="3" ht="15.75" spans="1:5">
      <c r="A3" s="28" t="s">
        <v>8</v>
      </c>
      <c r="B3" s="28" t="s">
        <v>552</v>
      </c>
      <c r="C3" s="28">
        <v>422</v>
      </c>
      <c r="D3" s="28" t="s">
        <v>553</v>
      </c>
      <c r="E3" s="28" t="s">
        <v>20</v>
      </c>
    </row>
    <row r="4" ht="15.75" spans="1:5">
      <c r="A4" s="28" t="s">
        <v>9</v>
      </c>
      <c r="B4" s="28" t="s">
        <v>552</v>
      </c>
      <c r="C4" s="28">
        <v>500</v>
      </c>
      <c r="D4" s="28" t="s">
        <v>553</v>
      </c>
      <c r="E4" s="28" t="s">
        <v>20</v>
      </c>
    </row>
    <row r="5" ht="15.75" spans="1:5">
      <c r="A5" s="28" t="s">
        <v>10</v>
      </c>
      <c r="B5" s="28" t="s">
        <v>554</v>
      </c>
      <c r="C5" s="28">
        <v>139</v>
      </c>
      <c r="D5" s="28" t="s">
        <v>553</v>
      </c>
      <c r="E5" s="28" t="s">
        <v>20</v>
      </c>
    </row>
    <row r="6" ht="15.75" spans="1:5">
      <c r="A6" s="28" t="s">
        <v>11</v>
      </c>
      <c r="B6" s="28" t="s">
        <v>555</v>
      </c>
      <c r="C6" s="28">
        <v>108</v>
      </c>
      <c r="D6" s="28" t="s">
        <v>553</v>
      </c>
      <c r="E6" s="28" t="s">
        <v>20</v>
      </c>
    </row>
    <row r="7" ht="15.75" spans="1:5">
      <c r="A7" s="28" t="s">
        <v>11</v>
      </c>
      <c r="B7" s="28" t="s">
        <v>58</v>
      </c>
      <c r="C7" s="28">
        <v>43</v>
      </c>
      <c r="D7" s="28" t="s">
        <v>553</v>
      </c>
      <c r="E7" s="28" t="s">
        <v>20</v>
      </c>
    </row>
    <row r="8" ht="15.75" spans="1:5">
      <c r="A8" s="28" t="s">
        <v>556</v>
      </c>
      <c r="B8" s="28" t="s">
        <v>552</v>
      </c>
      <c r="C8" s="28">
        <v>450</v>
      </c>
      <c r="D8" s="28" t="s">
        <v>553</v>
      </c>
      <c r="E8" s="28" t="s">
        <v>20</v>
      </c>
    </row>
  </sheetData>
  <mergeCells count="1">
    <mergeCell ref="A1:E1"/>
  </mergeCells>
  <pageMargins left="0.75" right="0.75" top="1" bottom="1" header="0.5" footer="0.5"/>
  <pageSetup paperSize="9" orientation="landscape" horizontalDpi="600"/>
  <headerFooter>
    <oddHeader>&amp;LPage&amp;C 0f &amp;R5</oddHeader>
    <oddFooter>&amp;LSHEET &amp;C2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C22" sqref="C22"/>
    </sheetView>
  </sheetViews>
  <sheetFormatPr defaultColWidth="9.14285714285714" defaultRowHeight="15"/>
  <cols>
    <col min="1" max="1" width="61.7142857142857" customWidth="1"/>
    <col min="2" max="2" width="18.5714285714286" customWidth="1"/>
    <col min="3" max="3" width="19.8571428571429" customWidth="1"/>
    <col min="4" max="4" width="13.4285714285714" customWidth="1"/>
    <col min="5" max="5" width="12.8571428571429" customWidth="1"/>
    <col min="6" max="6" width="16" customWidth="1"/>
    <col min="11" max="11" width="10" customWidth="1"/>
    <col min="12" max="12" width="17.1428571428571" customWidth="1"/>
    <col min="13" max="13" width="15.5714285714286" customWidth="1"/>
    <col min="14" max="14" width="15.8571428571429" customWidth="1"/>
  </cols>
  <sheetData>
    <row r="1" ht="20.25" spans="1:5">
      <c r="A1" s="21" t="s">
        <v>557</v>
      </c>
      <c r="B1" s="22"/>
    </row>
    <row r="2" ht="18" spans="1:5">
      <c r="A2" s="6" t="s">
        <v>558</v>
      </c>
      <c r="B2" s="5"/>
    </row>
    <row r="3" ht="18" spans="1:5">
      <c r="A3" s="6" t="s">
        <v>559</v>
      </c>
      <c r="B3" s="7">
        <v>500</v>
      </c>
    </row>
    <row r="4" ht="18" spans="1:5">
      <c r="A4" s="6" t="s">
        <v>560</v>
      </c>
      <c r="B4" s="8">
        <f>SUM(ORDER_DATA!I3:I502)</f>
        <v>10880</v>
      </c>
    </row>
    <row r="5" ht="18" spans="1:5">
      <c r="A5" s="6" t="s">
        <v>561</v>
      </c>
      <c r="B5" s="8">
        <f>SUM(ORDER_DATA!M3:M502)</f>
        <v>1845821</v>
      </c>
    </row>
    <row r="6" ht="18" spans="1:5">
      <c r="A6" s="6" t="s">
        <v>562</v>
      </c>
      <c r="B6" s="8">
        <f>AVERAGE(ORDER_DATA!M3:M502)</f>
        <v>3691.642</v>
      </c>
    </row>
    <row r="7" ht="18" spans="1:5">
      <c r="A7" s="6" t="s">
        <v>563</v>
      </c>
      <c r="B7" s="8">
        <f>MAX(ORDER_DATA!M3:M502)</f>
        <v>18980</v>
      </c>
    </row>
    <row r="8" ht="18" spans="1:5">
      <c r="A8" s="6" t="s">
        <v>564</v>
      </c>
      <c r="B8" s="8">
        <f>MIN(ORDER_DATA!M3:M502)</f>
        <v>52</v>
      </c>
    </row>
    <row r="9" ht="18" spans="1:5">
      <c r="A9" s="6"/>
      <c r="B9" s="5"/>
    </row>
    <row r="10" ht="18" spans="1:5">
      <c r="A10" s="6" t="s">
        <v>565</v>
      </c>
      <c r="B10" s="5"/>
      <c r="E10" s="23"/>
    </row>
    <row r="11" ht="18" spans="1:5">
      <c r="A11" s="6" t="s">
        <v>566</v>
      </c>
      <c r="B11" s="5">
        <v>139</v>
      </c>
    </row>
    <row r="12" ht="18" spans="1:5">
      <c r="A12" s="6" t="s">
        <v>567</v>
      </c>
      <c r="B12" s="5">
        <v>361</v>
      </c>
    </row>
    <row r="13" ht="18" spans="1:5">
      <c r="A13" s="6" t="s">
        <v>568</v>
      </c>
      <c r="B13" s="5">
        <v>108</v>
      </c>
    </row>
    <row r="14" ht="18" spans="1:5">
      <c r="A14" s="6" t="s">
        <v>569</v>
      </c>
      <c r="B14" s="5">
        <v>349</v>
      </c>
    </row>
    <row r="15" ht="18" spans="1:5">
      <c r="A15" s="6" t="s">
        <v>570</v>
      </c>
      <c r="B15" s="5">
        <v>43</v>
      </c>
    </row>
    <row r="16" ht="18" spans="1:5">
      <c r="A16" s="6"/>
      <c r="B16" s="5"/>
    </row>
    <row r="17" ht="18" spans="1:14">
      <c r="A17" s="6" t="s">
        <v>571</v>
      </c>
      <c r="B17" s="5"/>
    </row>
    <row r="18" ht="18" spans="1:14">
      <c r="A18" s="6" t="s">
        <v>572</v>
      </c>
      <c r="B18" s="13" t="s">
        <v>573</v>
      </c>
      <c r="C18" s="14" t="s">
        <v>1</v>
      </c>
      <c r="D18" s="14" t="s">
        <v>574</v>
      </c>
      <c r="E18" s="14" t="s">
        <v>3</v>
      </c>
      <c r="F18" s="14" t="s">
        <v>4</v>
      </c>
      <c r="G18" s="14" t="s">
        <v>5</v>
      </c>
      <c r="H18" s="14" t="s">
        <v>6</v>
      </c>
      <c r="I18" s="14" t="s">
        <v>7</v>
      </c>
      <c r="J18" s="14" t="s">
        <v>8</v>
      </c>
      <c r="K18" s="14" t="s">
        <v>9</v>
      </c>
      <c r="L18" s="14" t="s">
        <v>10</v>
      </c>
      <c r="M18" s="14" t="s">
        <v>11</v>
      </c>
      <c r="N18" s="14" t="s">
        <v>545</v>
      </c>
    </row>
    <row r="19" ht="18" spans="1:14">
      <c r="A19" s="6"/>
      <c r="B19" s="15" t="s">
        <v>74</v>
      </c>
      <c r="C19" s="16">
        <v>46265</v>
      </c>
      <c r="D19" s="17" t="s">
        <v>22</v>
      </c>
      <c r="E19" s="17" t="s">
        <v>37</v>
      </c>
      <c r="F19" s="17" t="s">
        <v>33</v>
      </c>
      <c r="G19" s="17" t="s">
        <v>16</v>
      </c>
      <c r="H19" s="17" t="s">
        <v>17</v>
      </c>
      <c r="I19" s="17" t="s">
        <v>18</v>
      </c>
      <c r="J19" s="18">
        <v>73</v>
      </c>
      <c r="K19" s="19">
        <v>260</v>
      </c>
      <c r="L19" s="17" t="s">
        <v>19</v>
      </c>
      <c r="M19" s="17" t="s">
        <v>24</v>
      </c>
      <c r="N19" s="20">
        <f>J19*K19</f>
        <v>18980</v>
      </c>
    </row>
    <row r="20" ht="18" spans="1:14">
      <c r="A20" s="6" t="s">
        <v>575</v>
      </c>
    </row>
    <row r="21" ht="18" spans="1:14">
      <c r="A21" s="6" t="s">
        <v>37</v>
      </c>
    </row>
    <row r="22" ht="18" spans="1:14">
      <c r="A22" s="6" t="s">
        <v>576</v>
      </c>
    </row>
    <row r="23" ht="18" spans="1:14">
      <c r="A23" s="6" t="s">
        <v>577</v>
      </c>
    </row>
    <row r="24" ht="18" spans="1:14">
      <c r="A24" s="6" t="s">
        <v>17</v>
      </c>
    </row>
    <row r="25" ht="18" spans="1:14">
      <c r="A25" s="6" t="s">
        <v>578</v>
      </c>
    </row>
    <row r="26" ht="18" spans="1:14">
      <c r="A26" s="6" t="s">
        <v>16</v>
      </c>
    </row>
  </sheetData>
  <mergeCells count="1">
    <mergeCell ref="A1:B1"/>
  </mergeCells>
  <conditionalFormatting sqref="B18">
    <cfRule type="duplicateValues" dxfId="4" priority="8"/>
    <cfRule type="duplicateValues" dxfId="4" priority="9"/>
  </conditionalFormatting>
  <conditionalFormatting sqref="B19">
    <cfRule type="duplicateValues" dxfId="4" priority="7"/>
    <cfRule type="duplicateValues" dxfId="4" priority="6"/>
  </conditionalFormatting>
  <conditionalFormatting sqref="J19">
    <cfRule type="duplicateValues" dxfId="4" priority="5"/>
  </conditionalFormatting>
  <conditionalFormatting sqref="K19">
    <cfRule type="duplicateValues" dxfId="4" priority="4"/>
  </conditionalFormatting>
  <conditionalFormatting sqref="L19">
    <cfRule type="containsText" dxfId="5" priority="3" operator="between" text="Pending">
      <formula>NOT(ISERROR(SEARCH("Pending",L19)))</formula>
    </cfRule>
  </conditionalFormatting>
  <conditionalFormatting sqref="M19">
    <cfRule type="containsText" dxfId="5" priority="2" operator="between" text="Pending">
      <formula>NOT(ISERROR(SEARCH("Pending",M19)))</formula>
    </cfRule>
  </conditionalFormatting>
  <conditionalFormatting sqref="N19">
    <cfRule type="duplicateValues" dxfId="4" priority="1"/>
  </conditionalFormatting>
  <pageMargins left="0.75" right="0.75" top="1" bottom="1" header="0.5" footer="0.5"/>
  <pageSetup paperSize="8" orientation="landscape" horizontalDpi="600"/>
  <headerFooter>
    <oddHeader>&amp;LPage3&amp;C0f&amp;R5</oddHeader>
    <oddFooter>&amp;LSHEET&amp;C3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9"/>
  <sheetViews>
    <sheetView workbookViewId="0">
      <selection activeCell="A24" sqref="A24"/>
    </sheetView>
  </sheetViews>
  <sheetFormatPr defaultColWidth="9.14285714285714" defaultRowHeight="15"/>
  <cols>
    <col min="1" max="1" width="51.1428571428571" customWidth="1"/>
    <col min="2" max="2" width="20.4285714285714" customWidth="1"/>
    <col min="14" max="14" width="14.8571428571429" customWidth="1"/>
  </cols>
  <sheetData>
    <row r="1" ht="21.75" spans="1:7">
      <c r="A1" s="1" t="s">
        <v>579</v>
      </c>
      <c r="B1" s="2"/>
    </row>
    <row r="2" ht="18" spans="1:7">
      <c r="A2" s="3"/>
      <c r="B2" s="3"/>
    </row>
    <row r="3" ht="18" spans="1:7">
      <c r="A3" s="4" t="s">
        <v>558</v>
      </c>
      <c r="B3" s="5"/>
    </row>
    <row r="4" ht="18" spans="1:7">
      <c r="A4" s="6" t="s">
        <v>559</v>
      </c>
      <c r="B4" s="7">
        <v>500</v>
      </c>
    </row>
    <row r="5" ht="18" spans="1:7">
      <c r="A5" s="6" t="s">
        <v>560</v>
      </c>
      <c r="B5" s="8">
        <f>SUM(ORDER_DATA!I4:I503)</f>
        <v>10861</v>
      </c>
      <c r="G5" s="9"/>
    </row>
    <row r="6" ht="18" spans="1:7">
      <c r="A6" s="6" t="s">
        <v>561</v>
      </c>
      <c r="B6" s="8">
        <f>SUM(ORDER_DATA!M4:M503)</f>
        <v>1840881</v>
      </c>
      <c r="G6" s="10"/>
    </row>
    <row r="7" ht="18" spans="1:7">
      <c r="A7" s="6" t="s">
        <v>562</v>
      </c>
      <c r="B7" s="8">
        <f>AVERAGE(ORDER_DATA!M4:M503)</f>
        <v>3689.14028056112</v>
      </c>
    </row>
    <row r="8" ht="18" spans="1:7">
      <c r="A8" s="6" t="s">
        <v>563</v>
      </c>
      <c r="B8" s="8">
        <f>MAX(ORDER_DATA!M4:M503)</f>
        <v>18980</v>
      </c>
    </row>
    <row r="9" ht="18" spans="1:7">
      <c r="A9" s="6" t="s">
        <v>564</v>
      </c>
      <c r="B9" s="8">
        <f>MIN(ORDER_DATA!M4:M503)</f>
        <v>52</v>
      </c>
      <c r="E9" s="11"/>
      <c r="F9" s="12"/>
    </row>
    <row r="10" ht="18" spans="1:7">
      <c r="A10" s="6"/>
      <c r="B10" s="5"/>
    </row>
    <row r="11" ht="18" spans="1:7">
      <c r="A11" s="6" t="s">
        <v>580</v>
      </c>
      <c r="B11" s="5"/>
    </row>
    <row r="12" ht="18" spans="1:7">
      <c r="A12" s="6" t="s">
        <v>566</v>
      </c>
      <c r="B12" s="5">
        <v>139</v>
      </c>
    </row>
    <row r="13" ht="18" spans="1:7">
      <c r="A13" s="6" t="s">
        <v>567</v>
      </c>
      <c r="B13" s="5">
        <v>361</v>
      </c>
    </row>
    <row r="14" ht="18" spans="1:7">
      <c r="A14" s="6" t="s">
        <v>568</v>
      </c>
      <c r="B14" s="5">
        <v>108</v>
      </c>
    </row>
    <row r="15" ht="18" spans="1:7">
      <c r="A15" s="6" t="s">
        <v>569</v>
      </c>
      <c r="B15" s="5">
        <v>349</v>
      </c>
    </row>
    <row r="16" ht="18" spans="1:7">
      <c r="A16" s="6" t="s">
        <v>570</v>
      </c>
      <c r="B16" s="5">
        <v>43</v>
      </c>
    </row>
    <row r="18" ht="18" spans="1:14">
      <c r="A18" s="6" t="s">
        <v>581</v>
      </c>
      <c r="B18" s="13" t="s">
        <v>573</v>
      </c>
      <c r="C18" s="14" t="s">
        <v>1</v>
      </c>
      <c r="D18" s="14" t="s">
        <v>574</v>
      </c>
      <c r="E18" s="14" t="s">
        <v>3</v>
      </c>
      <c r="F18" s="14" t="s">
        <v>4</v>
      </c>
      <c r="G18" s="14" t="s">
        <v>5</v>
      </c>
      <c r="H18" s="14" t="s">
        <v>6</v>
      </c>
      <c r="I18" s="14" t="s">
        <v>7</v>
      </c>
      <c r="J18" s="14" t="s">
        <v>8</v>
      </c>
      <c r="K18" s="14" t="s">
        <v>9</v>
      </c>
      <c r="L18" s="14" t="s">
        <v>10</v>
      </c>
      <c r="M18" s="14" t="s">
        <v>11</v>
      </c>
      <c r="N18" s="14" t="s">
        <v>545</v>
      </c>
    </row>
    <row r="19" ht="18" spans="1:14">
      <c r="A19" s="6"/>
      <c r="B19" s="15" t="s">
        <v>74</v>
      </c>
      <c r="C19" s="16">
        <v>46265</v>
      </c>
      <c r="D19" s="17" t="s">
        <v>22</v>
      </c>
      <c r="E19" s="17" t="s">
        <v>37</v>
      </c>
      <c r="F19" s="17" t="s">
        <v>33</v>
      </c>
      <c r="G19" s="17" t="s">
        <v>16</v>
      </c>
      <c r="H19" s="17" t="s">
        <v>17</v>
      </c>
      <c r="I19" s="17" t="s">
        <v>18</v>
      </c>
      <c r="J19" s="18">
        <v>73</v>
      </c>
      <c r="K19" s="19">
        <v>260</v>
      </c>
      <c r="L19" s="17" t="s">
        <v>19</v>
      </c>
      <c r="M19" s="17" t="s">
        <v>24</v>
      </c>
      <c r="N19" s="20">
        <f>J19*K19</f>
        <v>18980</v>
      </c>
    </row>
  </sheetData>
  <mergeCells count="1">
    <mergeCell ref="A2:B2"/>
  </mergeCells>
  <conditionalFormatting sqref="B18">
    <cfRule type="duplicateValues" dxfId="4" priority="9"/>
    <cfRule type="duplicateValues" dxfId="4" priority="8"/>
  </conditionalFormatting>
  <conditionalFormatting sqref="B19">
    <cfRule type="duplicateValues" dxfId="4" priority="7"/>
    <cfRule type="duplicateValues" dxfId="4" priority="6"/>
  </conditionalFormatting>
  <conditionalFormatting sqref="J19">
    <cfRule type="duplicateValues" dxfId="4" priority="5"/>
  </conditionalFormatting>
  <conditionalFormatting sqref="K19">
    <cfRule type="duplicateValues" dxfId="4" priority="4"/>
  </conditionalFormatting>
  <conditionalFormatting sqref="L19">
    <cfRule type="containsText" dxfId="5" priority="3" operator="between" text="Pending">
      <formula>NOT(ISERROR(SEARCH("Pending",L19)))</formula>
    </cfRule>
  </conditionalFormatting>
  <conditionalFormatting sqref="M19">
    <cfRule type="containsText" dxfId="5" priority="2" operator="between" text="Pending">
      <formula>NOT(ISERROR(SEARCH("Pending",M19)))</formula>
    </cfRule>
  </conditionalFormatting>
  <conditionalFormatting sqref="N19">
    <cfRule type="duplicateValues" dxfId="4" priority="1"/>
  </conditionalFormatting>
  <pageMargins left="0.75" right="0.75" top="1" bottom="1" header="0.5" footer="0.5"/>
  <pageSetup paperSize="8" scale="63" orientation="portrait" horizontalDpi="600"/>
  <headerFooter>
    <oddHeader>&amp;LPage 4&amp;Cof&amp;R5</oddHeader>
    <oddFooter>&amp;LSHEET&amp;C4</oddFooter>
  </headerFooter>
  <ignoredErrors>
    <ignoredError sqref="B5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tabSelected="1" topLeftCell="C1" workbookViewId="0">
      <selection activeCell="S15" sqref="S15"/>
    </sheetView>
  </sheetViews>
  <sheetFormatPr defaultColWidth="9.14285714285714" defaultRowHeight="15"/>
  <sheetData/>
  <pageMargins left="0.75" right="0.75" top="1" bottom="1" header="0.5" footer="0.5"/>
  <pageSetup paperSize="9" scale="74" orientation="landscape" horizontalDpi="600"/>
  <headerFooter>
    <oddHeader>&amp;LPage5&amp;Cof&amp;R5</oddHeader>
    <oddFooter>&amp;LSHEET&amp;C5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RAW_DATA</vt:lpstr>
      <vt:lpstr>ORDER_DATA</vt:lpstr>
      <vt:lpstr>QUALITY_CONTROL</vt:lpstr>
      <vt:lpstr>ORDER_ANALYSIS</vt:lpstr>
      <vt:lpstr>MANAGEMENT_REPORT</vt:lpstr>
      <vt:lpstr>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Leviw</cp:lastModifiedBy>
  <dcterms:created xsi:type="dcterms:W3CDTF">2026-10-03T08:30:00Z</dcterms:created>
  <dcterms:modified xsi:type="dcterms:W3CDTF">2026-10-03T12:42:45Z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5241D6492F69479885AF48F4C76633C2_12</vt:lpwstr>
  </property>
</Properties>
</file>